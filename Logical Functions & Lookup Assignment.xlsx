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2e4e32c79d5415/Desktop/Hrushikesh/PW SKILLS ASSIGNMENTS/"/>
    </mc:Choice>
  </mc:AlternateContent>
  <xr:revisionPtr revIDLastSave="336" documentId="8_{779C86F3-2751-480A-8CD2-BB145B169689}" xr6:coauthVersionLast="47" xr6:coauthVersionMax="47" xr10:uidLastSave="{8FB4C95D-58A0-404C-A222-3A4541A7554A}"/>
  <bookViews>
    <workbookView xWindow="-108" yWindow="-108" windowWidth="23256" windowHeight="12456" activeTab="7" xr2:uid="{9113D4F3-6502-4B8C-AE19-F723B3266258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8" l="1"/>
  <c r="B12" i="7"/>
  <c r="E16" i="6"/>
  <c r="E17" i="6"/>
  <c r="E15" i="6"/>
  <c r="B12" i="5"/>
  <c r="D14" i="1"/>
  <c r="B11" i="4"/>
  <c r="D15" i="3"/>
  <c r="E14" i="2"/>
  <c r="E15" i="2"/>
  <c r="E16" i="2"/>
  <c r="E13" i="2"/>
</calcChain>
</file>

<file path=xl/sharedStrings.xml><?xml version="1.0" encoding="utf-8"?>
<sst xmlns="http://schemas.openxmlformats.org/spreadsheetml/2006/main" count="137" uniqueCount="77">
  <si>
    <t>Question:-</t>
  </si>
  <si>
    <t>Marks</t>
  </si>
  <si>
    <t>Student Name</t>
  </si>
  <si>
    <t>Riya</t>
  </si>
  <si>
    <t>Siya</t>
  </si>
  <si>
    <t>Raju</t>
  </si>
  <si>
    <t>Rahul</t>
  </si>
  <si>
    <t>Ram</t>
  </si>
  <si>
    <t>Answer:-</t>
  </si>
  <si>
    <t>Write a formula to check if the marks in cell B2 are greater than or equal to 40. If yes, return "Pass" otherwise "Fail"</t>
  </si>
  <si>
    <r>
      <t xml:space="preserve">The formula we can use over here is </t>
    </r>
    <r>
      <rPr>
        <b/>
        <sz val="11"/>
        <color theme="1"/>
        <rFont val="Calibri"/>
        <family val="2"/>
        <scheme val="minor"/>
      </rPr>
      <t>"=IF"</t>
    </r>
  </si>
  <si>
    <t>A company gives a bonus  if sales are above 40,000 and attendance is greater than or equal to 90%. Write a formula to calculate whether the employee will get a bonus or not .</t>
  </si>
  <si>
    <t>Employee</t>
  </si>
  <si>
    <t>Sales</t>
  </si>
  <si>
    <t>Attendance</t>
  </si>
  <si>
    <t>Arjun</t>
  </si>
  <si>
    <t>Simran</t>
  </si>
  <si>
    <t>Rohit</t>
  </si>
  <si>
    <t>Anjali</t>
  </si>
  <si>
    <t>Bonus/No Bonus</t>
  </si>
  <si>
    <r>
      <t xml:space="preserve">As we have two criteria over here, We have to use more than 1 formula over here to find out if employee get bonus of not. i.e </t>
    </r>
    <r>
      <rPr>
        <b/>
        <sz val="11"/>
        <color theme="1"/>
        <rFont val="Calibri"/>
        <family val="2"/>
        <scheme val="minor"/>
      </rPr>
      <t>"=if"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"=And"</t>
    </r>
    <r>
      <rPr>
        <sz val="11"/>
        <color theme="1"/>
        <rFont val="Calibri"/>
        <family val="2"/>
        <scheme val="minor"/>
      </rPr>
      <t xml:space="preserve"> formula together.</t>
    </r>
  </si>
  <si>
    <t>Write a nested IF formula:</t>
  </si>
  <si>
    <t>If marks in B2  are ≥ 90 →  "A",≥ 75 → "B",  ≥ 50 →"C" , otherwise "Fail" .</t>
  </si>
  <si>
    <t>Raj</t>
  </si>
  <si>
    <t>Neha</t>
  </si>
  <si>
    <t>Vivek</t>
  </si>
  <si>
    <t>Rani</t>
  </si>
  <si>
    <t>Sneha</t>
  </si>
  <si>
    <t>A</t>
  </si>
  <si>
    <t>B</t>
  </si>
  <si>
    <r>
      <t xml:space="preserve">Answer will be </t>
    </r>
    <r>
      <rPr>
        <b/>
        <sz val="11"/>
        <color theme="1"/>
        <rFont val="Calibri"/>
        <family val="2"/>
        <scheme val="minor"/>
      </rPr>
      <t>"B"</t>
    </r>
    <r>
      <rPr>
        <sz val="11"/>
        <color theme="1"/>
        <rFont val="Calibri"/>
        <family val="2"/>
        <scheme val="minor"/>
      </rPr>
      <t>.</t>
    </r>
  </si>
  <si>
    <t>Grade</t>
  </si>
  <si>
    <t>C</t>
  </si>
  <si>
    <t>EmpID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</si>
  <si>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</si>
  <si>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</si>
  <si>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</si>
  <si>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</si>
  <si>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</si>
  <si>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</si>
  <si>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</si>
  <si>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</si>
  <si>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</si>
  <si>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>HR</t>
  </si>
  <si>
    <t>Finance</t>
  </si>
  <si>
    <t>Find the Department of Employee ID = E103. Also explain which LOOKUP function is used and why?</t>
  </si>
  <si>
    <t>We will use "=VLOOKUP" function over here to find department, we are using vlookup because the data arranged in vertical manner and we want value which are arranged vertically.</t>
  </si>
  <si>
    <t>Department is</t>
  </si>
  <si>
    <t>A company has set the following commission structure for its sales team:</t>
  </si>
  <si>
    <t>Sales Amount</t>
  </si>
  <si>
    <t>Commission Rate</t>
  </si>
  <si>
    <t>If a salesperson achieves sales of ₹45,000, use the VLOOKUP function to determine the commission rate applicable.</t>
  </si>
  <si>
    <t>Column/row</t>
  </si>
  <si>
    <t>Result</t>
  </si>
  <si>
    <t>Please find formula below to find out rate:-</t>
  </si>
  <si>
    <t>The HR department maintains the following leave records of employees:onus or not .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</si>
  <si>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</si>
  <si>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</si>
  <si>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</si>
  <si>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</si>
  <si>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</si>
  <si>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</si>
  <si>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balance.</t>
  </si>
  <si>
    <t>If Leaves Taken &gt; Allowed Leaves, display "Exceeded".</t>
  </si>
  <si>
    <t>Otherwise, display "OK".</t>
  </si>
  <si>
    <t>Exceeded/Ok</t>
  </si>
  <si>
    <t>Find the salary of EmpID = E105 using INDEX-MATCH Function</t>
  </si>
  <si>
    <t>Salary</t>
  </si>
  <si>
    <t>E105</t>
  </si>
  <si>
    <t>E106</t>
  </si>
  <si>
    <t>Answer:</t>
  </si>
  <si>
    <t>We have to use INDEX &amp; MATCH together to find salary of E105:-</t>
  </si>
  <si>
    <t>Use the XLOOKUP function to find the Department of the employee with Emp ID = E303.</t>
  </si>
  <si>
    <t>E303</t>
  </si>
  <si>
    <t>E301</t>
  </si>
  <si>
    <t>Please find below formula:-Xlookup is used to to find values, no matter data is vertical or horizontal it will give appropriate results.</t>
  </si>
  <si>
    <t>Please find answer below in table:-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</si>
</sst>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2" borderId="0" xfId="0" applyFill="1"/>
    <xf numFmtId="0" fontId="1" fillId="0" borderId="1" xfId="0" applyFont="1" applyFill="1" applyBorder="1"/>
    <xf numFmtId="0" fontId="0" fillId="2" borderId="1" xfId="0" applyFill="1" applyBorder="1"/>
    <xf numFmtId="9" fontId="0" fillId="0" borderId="1" xfId="0" applyNumberFormat="1" applyBorder="1"/>
    <xf numFmtId="0" fontId="0" fillId="0" borderId="1" xfId="0" applyFont="1" applyBorder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81EA-8C32-4C08-84C9-DE8FA809D211}">
  <dimension ref="A1:D18"/>
  <sheetViews>
    <sheetView workbookViewId="0">
      <selection activeCell="D14" sqref="D14"/>
    </sheetView>
  </sheetViews>
  <sheetFormatPr defaultRowHeight="14.4" x14ac:dyDescent="0.3"/>
  <cols>
    <col min="1" max="1" width="8.5546875" customWidth="1"/>
  </cols>
  <sheetData>
    <row r="1" spans="1:4" x14ac:dyDescent="0.3">
      <c r="A1" s="3" t="s">
        <v>0</v>
      </c>
      <c r="B1" t="s">
        <v>9</v>
      </c>
    </row>
    <row r="3" spans="1:4" x14ac:dyDescent="0.3">
      <c r="B3" s="2" t="s">
        <v>2</v>
      </c>
      <c r="C3" s="2" t="s">
        <v>1</v>
      </c>
    </row>
    <row r="4" spans="1:4" x14ac:dyDescent="0.3">
      <c r="B4" s="1" t="s">
        <v>3</v>
      </c>
      <c r="C4" s="1">
        <v>45</v>
      </c>
    </row>
    <row r="5" spans="1:4" x14ac:dyDescent="0.3">
      <c r="B5" s="1" t="s">
        <v>4</v>
      </c>
      <c r="C5" s="1">
        <v>72</v>
      </c>
    </row>
    <row r="6" spans="1:4" x14ac:dyDescent="0.3">
      <c r="B6" s="1" t="s">
        <v>5</v>
      </c>
      <c r="C6" s="1">
        <v>55</v>
      </c>
    </row>
    <row r="7" spans="1:4" x14ac:dyDescent="0.3">
      <c r="B7" s="1" t="s">
        <v>6</v>
      </c>
      <c r="C7" s="1">
        <v>80</v>
      </c>
    </row>
    <row r="8" spans="1:4" x14ac:dyDescent="0.3">
      <c r="B8" s="1" t="s">
        <v>7</v>
      </c>
      <c r="C8" s="1">
        <v>30</v>
      </c>
    </row>
    <row r="10" spans="1:4" x14ac:dyDescent="0.3">
      <c r="A10" s="3" t="s">
        <v>8</v>
      </c>
      <c r="B10" t="s">
        <v>10</v>
      </c>
    </row>
    <row r="11" spans="1:4" x14ac:dyDescent="0.3">
      <c r="A11" s="3"/>
    </row>
    <row r="12" spans="1:4" x14ac:dyDescent="0.3">
      <c r="A12" s="8" t="s">
        <v>52</v>
      </c>
      <c r="B12" s="2" t="s">
        <v>28</v>
      </c>
      <c r="C12" s="5" t="s">
        <v>29</v>
      </c>
      <c r="D12" s="2" t="s">
        <v>32</v>
      </c>
    </row>
    <row r="13" spans="1:4" x14ac:dyDescent="0.3">
      <c r="A13" s="8">
        <v>1</v>
      </c>
      <c r="B13" s="2" t="s">
        <v>2</v>
      </c>
      <c r="C13" s="2" t="s">
        <v>1</v>
      </c>
      <c r="D13" s="2" t="s">
        <v>53</v>
      </c>
    </row>
    <row r="14" spans="1:4" x14ac:dyDescent="0.3">
      <c r="A14" s="8">
        <v>2</v>
      </c>
      <c r="B14" s="1" t="s">
        <v>3</v>
      </c>
      <c r="C14" s="1">
        <v>45</v>
      </c>
      <c r="D14" s="6" t="str">
        <f>IF(C14&gt;=40,"Pass","Fail")</f>
        <v>Pass</v>
      </c>
    </row>
    <row r="15" spans="1:4" x14ac:dyDescent="0.3">
      <c r="A15" s="8">
        <v>3</v>
      </c>
      <c r="B15" s="1" t="s">
        <v>4</v>
      </c>
      <c r="C15" s="1">
        <v>72</v>
      </c>
      <c r="D15" s="1"/>
    </row>
    <row r="16" spans="1:4" x14ac:dyDescent="0.3">
      <c r="A16" s="8">
        <v>4</v>
      </c>
      <c r="B16" s="1" t="s">
        <v>5</v>
      </c>
      <c r="C16" s="1">
        <v>55</v>
      </c>
      <c r="D16" s="1"/>
    </row>
    <row r="17" spans="1:4" x14ac:dyDescent="0.3">
      <c r="A17" s="8">
        <v>5</v>
      </c>
      <c r="B17" s="1" t="s">
        <v>6</v>
      </c>
      <c r="C17" s="1">
        <v>80</v>
      </c>
      <c r="D17" s="1"/>
    </row>
    <row r="18" spans="1:4" x14ac:dyDescent="0.3">
      <c r="A18" s="8">
        <v>6</v>
      </c>
      <c r="B18" s="1" t="s">
        <v>7</v>
      </c>
      <c r="C18" s="1">
        <v>30</v>
      </c>
      <c r="D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9A55-671C-46ED-B245-3BB01091AD7F}">
  <dimension ref="A1:E16"/>
  <sheetViews>
    <sheetView workbookViewId="0">
      <selection activeCell="E13" sqref="E13"/>
    </sheetView>
  </sheetViews>
  <sheetFormatPr defaultRowHeight="14.4" x14ac:dyDescent="0.3"/>
  <cols>
    <col min="4" max="4" width="11.109375" customWidth="1"/>
  </cols>
  <sheetData>
    <row r="1" spans="1:5" x14ac:dyDescent="0.3">
      <c r="A1" s="3" t="s">
        <v>0</v>
      </c>
      <c r="B1" t="s">
        <v>11</v>
      </c>
    </row>
    <row r="3" spans="1:5" x14ac:dyDescent="0.3">
      <c r="B3" s="2" t="s">
        <v>12</v>
      </c>
      <c r="C3" s="2" t="s">
        <v>13</v>
      </c>
      <c r="D3" s="2" t="s">
        <v>14</v>
      </c>
    </row>
    <row r="4" spans="1:5" x14ac:dyDescent="0.3">
      <c r="B4" s="1" t="s">
        <v>15</v>
      </c>
      <c r="C4" s="1">
        <v>55000</v>
      </c>
      <c r="D4" s="1">
        <v>95</v>
      </c>
    </row>
    <row r="5" spans="1:5" x14ac:dyDescent="0.3">
      <c r="B5" s="1" t="s">
        <v>16</v>
      </c>
      <c r="C5" s="1">
        <v>65000</v>
      </c>
      <c r="D5" s="1">
        <v>85</v>
      </c>
    </row>
    <row r="6" spans="1:5" x14ac:dyDescent="0.3">
      <c r="B6" s="1" t="s">
        <v>17</v>
      </c>
      <c r="C6" s="1">
        <v>30000</v>
      </c>
      <c r="D6" s="1">
        <v>90</v>
      </c>
    </row>
    <row r="7" spans="1:5" x14ac:dyDescent="0.3">
      <c r="B7" s="1" t="s">
        <v>18</v>
      </c>
      <c r="C7" s="1">
        <v>25000</v>
      </c>
      <c r="D7" s="1">
        <v>65</v>
      </c>
    </row>
    <row r="9" spans="1:5" x14ac:dyDescent="0.3">
      <c r="A9" s="3" t="s">
        <v>8</v>
      </c>
    </row>
    <row r="10" spans="1:5" x14ac:dyDescent="0.3">
      <c r="A10" t="s">
        <v>20</v>
      </c>
    </row>
    <row r="12" spans="1:5" x14ac:dyDescent="0.3">
      <c r="B12" s="2" t="s">
        <v>12</v>
      </c>
      <c r="C12" s="2" t="s">
        <v>13</v>
      </c>
      <c r="D12" s="2" t="s">
        <v>14</v>
      </c>
      <c r="E12" s="5" t="s">
        <v>19</v>
      </c>
    </row>
    <row r="13" spans="1:5" x14ac:dyDescent="0.3">
      <c r="B13" s="1" t="s">
        <v>15</v>
      </c>
      <c r="C13" s="1">
        <v>55000</v>
      </c>
      <c r="D13" s="1">
        <v>95</v>
      </c>
      <c r="E13" s="6" t="str">
        <f>IF(AND($C13&gt;40000,$D13&gt;=90),"Bonus","No Bonus")</f>
        <v>Bonus</v>
      </c>
    </row>
    <row r="14" spans="1:5" x14ac:dyDescent="0.3">
      <c r="B14" s="1" t="s">
        <v>16</v>
      </c>
      <c r="C14" s="1">
        <v>65000</v>
      </c>
      <c r="D14" s="1">
        <v>85</v>
      </c>
      <c r="E14" s="6" t="str">
        <f t="shared" ref="E14:E16" si="0">IF(AND($C14&gt;40000,$D14&gt;=90),"Bonus","No Bonus")</f>
        <v>No Bonus</v>
      </c>
    </row>
    <row r="15" spans="1:5" x14ac:dyDescent="0.3">
      <c r="B15" s="1" t="s">
        <v>17</v>
      </c>
      <c r="C15" s="1">
        <v>30000</v>
      </c>
      <c r="D15" s="1">
        <v>90</v>
      </c>
      <c r="E15" s="6" t="str">
        <f t="shared" si="0"/>
        <v>No Bonus</v>
      </c>
    </row>
    <row r="16" spans="1:5" x14ac:dyDescent="0.3">
      <c r="B16" s="1" t="s">
        <v>18</v>
      </c>
      <c r="C16" s="1">
        <v>25000</v>
      </c>
      <c r="D16" s="1">
        <v>65</v>
      </c>
      <c r="E16" s="6" t="str">
        <f t="shared" si="0"/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2DFC-D08D-4172-BF87-8930B8BD48A5}">
  <dimension ref="A1:D19"/>
  <sheetViews>
    <sheetView workbookViewId="0">
      <selection activeCell="C22" sqref="C22"/>
    </sheetView>
  </sheetViews>
  <sheetFormatPr defaultRowHeight="14.4" x14ac:dyDescent="0.3"/>
  <cols>
    <col min="2" max="2" width="15.109375" customWidth="1"/>
  </cols>
  <sheetData>
    <row r="1" spans="1:4" x14ac:dyDescent="0.3">
      <c r="A1" s="3" t="s">
        <v>0</v>
      </c>
      <c r="B1" t="s">
        <v>21</v>
      </c>
    </row>
    <row r="2" spans="1:4" x14ac:dyDescent="0.3">
      <c r="B2" t="s">
        <v>22</v>
      </c>
    </row>
    <row r="4" spans="1:4" x14ac:dyDescent="0.3">
      <c r="B4" s="2" t="s">
        <v>2</v>
      </c>
      <c r="C4" s="2" t="s">
        <v>1</v>
      </c>
    </row>
    <row r="5" spans="1:4" x14ac:dyDescent="0.3">
      <c r="B5" s="1" t="s">
        <v>23</v>
      </c>
      <c r="C5" s="1">
        <v>85</v>
      </c>
    </row>
    <row r="6" spans="1:4" x14ac:dyDescent="0.3">
      <c r="B6" s="1" t="s">
        <v>24</v>
      </c>
      <c r="C6" s="1">
        <v>96</v>
      </c>
    </row>
    <row r="7" spans="1:4" x14ac:dyDescent="0.3">
      <c r="B7" s="1" t="s">
        <v>25</v>
      </c>
      <c r="C7" s="1">
        <v>57</v>
      </c>
    </row>
    <row r="8" spans="1:4" x14ac:dyDescent="0.3">
      <c r="B8" s="1" t="s">
        <v>26</v>
      </c>
      <c r="C8" s="1">
        <v>92</v>
      </c>
    </row>
    <row r="9" spans="1:4" x14ac:dyDescent="0.3">
      <c r="B9" s="1" t="s">
        <v>27</v>
      </c>
      <c r="C9" s="1">
        <v>75</v>
      </c>
    </row>
    <row r="11" spans="1:4" x14ac:dyDescent="0.3">
      <c r="A11" s="3" t="s">
        <v>8</v>
      </c>
      <c r="B11" t="s">
        <v>30</v>
      </c>
    </row>
    <row r="13" spans="1:4" x14ac:dyDescent="0.3">
      <c r="A13" s="2" t="s">
        <v>52</v>
      </c>
      <c r="B13" s="2" t="s">
        <v>28</v>
      </c>
      <c r="C13" s="5" t="s">
        <v>29</v>
      </c>
      <c r="D13" s="2" t="s">
        <v>32</v>
      </c>
    </row>
    <row r="14" spans="1:4" x14ac:dyDescent="0.3">
      <c r="A14" s="2">
        <v>1</v>
      </c>
      <c r="B14" s="2" t="s">
        <v>2</v>
      </c>
      <c r="C14" s="2" t="s">
        <v>1</v>
      </c>
      <c r="D14" s="2" t="s">
        <v>31</v>
      </c>
    </row>
    <row r="15" spans="1:4" x14ac:dyDescent="0.3">
      <c r="A15" s="2">
        <v>2</v>
      </c>
      <c r="B15" s="1" t="s">
        <v>23</v>
      </c>
      <c r="C15" s="1">
        <v>85</v>
      </c>
      <c r="D15" s="6" t="str">
        <f>IF($C$15&gt;=90,"A",IF($C$15&gt;=75,"B",IF($C$15&gt;=50,"C","Fail")))</f>
        <v>B</v>
      </c>
    </row>
    <row r="16" spans="1:4" x14ac:dyDescent="0.3">
      <c r="A16" s="2">
        <v>3</v>
      </c>
      <c r="B16" s="1" t="s">
        <v>24</v>
      </c>
      <c r="C16" s="1">
        <v>96</v>
      </c>
      <c r="D16" s="1"/>
    </row>
    <row r="17" spans="1:4" x14ac:dyDescent="0.3">
      <c r="A17" s="2">
        <v>4</v>
      </c>
      <c r="B17" s="1" t="s">
        <v>25</v>
      </c>
      <c r="C17" s="1">
        <v>57</v>
      </c>
      <c r="D17" s="1"/>
    </row>
    <row r="18" spans="1:4" x14ac:dyDescent="0.3">
      <c r="A18" s="2">
        <v>5</v>
      </c>
      <c r="B18" s="1" t="s">
        <v>26</v>
      </c>
      <c r="C18" s="1">
        <v>92</v>
      </c>
      <c r="D18" s="1"/>
    </row>
    <row r="19" spans="1:4" x14ac:dyDescent="0.3">
      <c r="A19" s="2">
        <v>6</v>
      </c>
      <c r="B19" s="1" t="s">
        <v>27</v>
      </c>
      <c r="C19" s="1">
        <v>75</v>
      </c>
      <c r="D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ECC5-B7AB-4146-9E84-7C827FB7632B}">
  <dimension ref="A1:D11"/>
  <sheetViews>
    <sheetView workbookViewId="0">
      <selection activeCell="B11" sqref="B11"/>
    </sheetView>
  </sheetViews>
  <sheetFormatPr defaultRowHeight="14.4" x14ac:dyDescent="0.3"/>
  <cols>
    <col min="1" max="1" width="12.44140625" bestFit="1" customWidth="1"/>
  </cols>
  <sheetData>
    <row r="1" spans="1:4" x14ac:dyDescent="0.3">
      <c r="A1" s="3" t="s">
        <v>0</v>
      </c>
      <c r="B1" t="s">
        <v>45</v>
      </c>
    </row>
    <row r="3" spans="1:4" x14ac:dyDescent="0.3">
      <c r="B3" s="2" t="s">
        <v>33</v>
      </c>
      <c r="C3" s="2" t="s">
        <v>34</v>
      </c>
      <c r="D3" s="2" t="s">
        <v>35</v>
      </c>
    </row>
    <row r="4" spans="1:4" x14ac:dyDescent="0.3">
      <c r="B4" s="1" t="s">
        <v>36</v>
      </c>
      <c r="C4" s="1" t="s">
        <v>5</v>
      </c>
      <c r="D4" s="1" t="s">
        <v>42</v>
      </c>
    </row>
    <row r="5" spans="1:4" x14ac:dyDescent="0.3">
      <c r="B5" s="1" t="s">
        <v>37</v>
      </c>
      <c r="C5" s="1" t="s">
        <v>3</v>
      </c>
      <c r="D5" s="1" t="s">
        <v>43</v>
      </c>
    </row>
    <row r="6" spans="1:4" x14ac:dyDescent="0.3">
      <c r="B6" s="1" t="s">
        <v>38</v>
      </c>
      <c r="C6" s="1" t="s">
        <v>40</v>
      </c>
      <c r="D6" s="1" t="s">
        <v>44</v>
      </c>
    </row>
    <row r="7" spans="1:4" x14ac:dyDescent="0.3">
      <c r="B7" s="1" t="s">
        <v>39</v>
      </c>
      <c r="C7" s="1" t="s">
        <v>41</v>
      </c>
      <c r="D7" s="1" t="s">
        <v>13</v>
      </c>
    </row>
    <row r="9" spans="1:4" x14ac:dyDescent="0.3">
      <c r="A9" s="3" t="s">
        <v>8</v>
      </c>
      <c r="B9" t="s">
        <v>46</v>
      </c>
    </row>
    <row r="11" spans="1:4" x14ac:dyDescent="0.3">
      <c r="A11" s="3" t="s">
        <v>47</v>
      </c>
      <c r="B11" s="4" t="str">
        <f>VLOOKUP($B$6,$B$3:$D$7,3,FALSE)</f>
        <v>Finance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8D0F-E1F0-4CD2-9D7D-DFC635650F1E}">
  <dimension ref="A1:C12"/>
  <sheetViews>
    <sheetView workbookViewId="0">
      <selection activeCell="C19" sqref="C19"/>
    </sheetView>
  </sheetViews>
  <sheetFormatPr defaultRowHeight="14.4" x14ac:dyDescent="0.3"/>
  <cols>
    <col min="2" max="2" width="12.88671875" customWidth="1"/>
    <col min="3" max="3" width="13.44140625" customWidth="1"/>
  </cols>
  <sheetData>
    <row r="1" spans="1:3" x14ac:dyDescent="0.3">
      <c r="A1" s="3" t="s">
        <v>0</v>
      </c>
      <c r="B1" t="s">
        <v>48</v>
      </c>
    </row>
    <row r="3" spans="1:3" x14ac:dyDescent="0.3">
      <c r="B3" s="2" t="s">
        <v>49</v>
      </c>
      <c r="C3" s="2" t="s">
        <v>50</v>
      </c>
    </row>
    <row r="4" spans="1:3" x14ac:dyDescent="0.3">
      <c r="B4" s="1">
        <v>0</v>
      </c>
      <c r="C4" s="7">
        <v>0.05</v>
      </c>
    </row>
    <row r="5" spans="1:3" x14ac:dyDescent="0.3">
      <c r="B5" s="1">
        <v>20000</v>
      </c>
      <c r="C5" s="7">
        <v>0.1</v>
      </c>
    </row>
    <row r="6" spans="1:3" x14ac:dyDescent="0.3">
      <c r="B6" s="1">
        <v>50000</v>
      </c>
      <c r="C6" s="7">
        <v>0.15</v>
      </c>
    </row>
    <row r="7" spans="1:3" x14ac:dyDescent="0.3">
      <c r="B7" s="1">
        <v>80000</v>
      </c>
      <c r="C7" s="7">
        <v>0.2</v>
      </c>
    </row>
    <row r="9" spans="1:3" x14ac:dyDescent="0.3">
      <c r="B9" t="s">
        <v>51</v>
      </c>
    </row>
    <row r="11" spans="1:3" x14ac:dyDescent="0.3">
      <c r="A11" s="3" t="s">
        <v>8</v>
      </c>
      <c r="B11" t="s">
        <v>54</v>
      </c>
    </row>
    <row r="12" spans="1:3" x14ac:dyDescent="0.3">
      <c r="B12" s="9">
        <f>VLOOKUP(45000,$B$3:$C$7,2,TRUE)</f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5EC4-5C68-449B-8683-41A857D7B402}">
  <dimension ref="A1:E17"/>
  <sheetViews>
    <sheetView workbookViewId="0">
      <selection activeCell="C22" sqref="C22"/>
    </sheetView>
  </sheetViews>
  <sheetFormatPr defaultRowHeight="14.4" x14ac:dyDescent="0.3"/>
  <cols>
    <col min="3" max="3" width="12.21875" bestFit="1" customWidth="1"/>
    <col min="4" max="4" width="14" bestFit="1" customWidth="1"/>
  </cols>
  <sheetData>
    <row r="1" spans="1:5" x14ac:dyDescent="0.3">
      <c r="A1" s="3" t="s">
        <v>0</v>
      </c>
      <c r="B1" t="s">
        <v>55</v>
      </c>
    </row>
    <row r="3" spans="1:5" x14ac:dyDescent="0.3">
      <c r="B3" s="2" t="s">
        <v>56</v>
      </c>
      <c r="C3" s="2" t="s">
        <v>57</v>
      </c>
      <c r="D3" s="2" t="s">
        <v>58</v>
      </c>
    </row>
    <row r="4" spans="1:5" x14ac:dyDescent="0.3">
      <c r="B4" s="1" t="s">
        <v>59</v>
      </c>
      <c r="C4" s="1">
        <v>10</v>
      </c>
      <c r="D4" s="1">
        <v>12</v>
      </c>
    </row>
    <row r="5" spans="1:5" x14ac:dyDescent="0.3">
      <c r="B5" s="1" t="s">
        <v>60</v>
      </c>
      <c r="C5" s="1">
        <v>10</v>
      </c>
      <c r="D5" s="1">
        <v>15</v>
      </c>
    </row>
    <row r="6" spans="1:5" x14ac:dyDescent="0.3">
      <c r="B6" s="1" t="s">
        <v>61</v>
      </c>
      <c r="C6" s="1">
        <v>8</v>
      </c>
      <c r="D6" s="1">
        <v>12</v>
      </c>
    </row>
    <row r="8" spans="1:5" x14ac:dyDescent="0.3">
      <c r="B8" t="s">
        <v>62</v>
      </c>
    </row>
    <row r="9" spans="1:5" x14ac:dyDescent="0.3">
      <c r="B9" t="s">
        <v>63</v>
      </c>
    </row>
    <row r="10" spans="1:5" x14ac:dyDescent="0.3">
      <c r="B10" t="s">
        <v>64</v>
      </c>
    </row>
    <row r="12" spans="1:5" x14ac:dyDescent="0.3">
      <c r="A12" s="3" t="s">
        <v>8</v>
      </c>
      <c r="B12" t="s">
        <v>76</v>
      </c>
    </row>
    <row r="14" spans="1:5" x14ac:dyDescent="0.3">
      <c r="B14" s="2" t="s">
        <v>56</v>
      </c>
      <c r="C14" s="2" t="s">
        <v>57</v>
      </c>
      <c r="D14" s="2" t="s">
        <v>58</v>
      </c>
      <c r="E14" s="5" t="s">
        <v>65</v>
      </c>
    </row>
    <row r="15" spans="1:5" x14ac:dyDescent="0.3">
      <c r="B15" s="1" t="s">
        <v>59</v>
      </c>
      <c r="C15" s="1">
        <v>10</v>
      </c>
      <c r="D15" s="1">
        <v>12</v>
      </c>
      <c r="E15" s="6" t="str">
        <f>IF($C15&gt;$D15,"Exceeded","Ok")</f>
        <v>Ok</v>
      </c>
    </row>
    <row r="16" spans="1:5" x14ac:dyDescent="0.3">
      <c r="B16" s="1" t="s">
        <v>60</v>
      </c>
      <c r="C16" s="1">
        <v>10</v>
      </c>
      <c r="D16" s="1">
        <v>15</v>
      </c>
      <c r="E16" s="6" t="str">
        <f t="shared" ref="E16:E17" si="0">IF($C16&gt;$D16,"Exceeded","Ok")</f>
        <v>Ok</v>
      </c>
    </row>
    <row r="17" spans="2:5" x14ac:dyDescent="0.3">
      <c r="B17" s="1" t="s">
        <v>61</v>
      </c>
      <c r="C17" s="1">
        <v>8</v>
      </c>
      <c r="D17" s="1">
        <v>12</v>
      </c>
      <c r="E17" s="6" t="str">
        <f t="shared" si="0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2DDF-8509-4607-BA05-FAE2CC11556F}">
  <dimension ref="A1:C12"/>
  <sheetViews>
    <sheetView workbookViewId="0">
      <selection activeCell="B12" sqref="B12"/>
    </sheetView>
  </sheetViews>
  <sheetFormatPr defaultRowHeight="14.4" x14ac:dyDescent="0.3"/>
  <sheetData>
    <row r="1" spans="1:3" x14ac:dyDescent="0.3">
      <c r="A1" s="3" t="s">
        <v>0</v>
      </c>
      <c r="B1" t="s">
        <v>66</v>
      </c>
    </row>
    <row r="3" spans="1:3" x14ac:dyDescent="0.3">
      <c r="B3" s="2" t="s">
        <v>33</v>
      </c>
      <c r="C3" s="2" t="s">
        <v>67</v>
      </c>
    </row>
    <row r="4" spans="1:3" x14ac:dyDescent="0.3">
      <c r="B4" s="1" t="s">
        <v>39</v>
      </c>
      <c r="C4" s="1">
        <v>55000</v>
      </c>
    </row>
    <row r="5" spans="1:3" x14ac:dyDescent="0.3">
      <c r="B5" s="1" t="s">
        <v>68</v>
      </c>
      <c r="C5" s="1">
        <v>72000</v>
      </c>
    </row>
    <row r="6" spans="1:3" x14ac:dyDescent="0.3">
      <c r="B6" s="1" t="s">
        <v>69</v>
      </c>
      <c r="C6" s="1">
        <v>62000</v>
      </c>
    </row>
    <row r="7" spans="1:3" x14ac:dyDescent="0.3">
      <c r="B7" s="1" t="s">
        <v>37</v>
      </c>
      <c r="C7" s="1">
        <v>41000</v>
      </c>
    </row>
    <row r="10" spans="1:3" x14ac:dyDescent="0.3">
      <c r="A10" s="3" t="s">
        <v>70</v>
      </c>
      <c r="B10" t="s">
        <v>71</v>
      </c>
    </row>
    <row r="12" spans="1:3" x14ac:dyDescent="0.3">
      <c r="B12" s="4">
        <f>INDEX($C$3:$C$7,MATCH($B$5,$B$3:$B$7,0))</f>
        <v>72000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328D-7E36-41FB-96CB-06479AAA5EE1}">
  <dimension ref="A1:C11"/>
  <sheetViews>
    <sheetView tabSelected="1" workbookViewId="0">
      <selection activeCell="G22" sqref="G22"/>
    </sheetView>
  </sheetViews>
  <sheetFormatPr defaultRowHeight="14.4" x14ac:dyDescent="0.3"/>
  <sheetData>
    <row r="1" spans="1:3" x14ac:dyDescent="0.3">
      <c r="A1" s="3" t="s">
        <v>0</v>
      </c>
      <c r="B1" t="s">
        <v>72</v>
      </c>
    </row>
    <row r="3" spans="1:3" x14ac:dyDescent="0.3">
      <c r="B3" s="2" t="s">
        <v>33</v>
      </c>
      <c r="C3" s="2" t="s">
        <v>67</v>
      </c>
    </row>
    <row r="4" spans="1:3" x14ac:dyDescent="0.3">
      <c r="B4" s="1" t="s">
        <v>36</v>
      </c>
      <c r="C4" s="1" t="s">
        <v>43</v>
      </c>
    </row>
    <row r="5" spans="1:3" x14ac:dyDescent="0.3">
      <c r="B5" s="1" t="s">
        <v>73</v>
      </c>
      <c r="C5" s="1" t="s">
        <v>42</v>
      </c>
    </row>
    <row r="6" spans="1:3" x14ac:dyDescent="0.3">
      <c r="B6" s="1" t="s">
        <v>69</v>
      </c>
      <c r="C6" s="1" t="s">
        <v>13</v>
      </c>
    </row>
    <row r="7" spans="1:3" x14ac:dyDescent="0.3">
      <c r="B7" s="1" t="s">
        <v>74</v>
      </c>
      <c r="C7" s="1" t="s">
        <v>44</v>
      </c>
    </row>
    <row r="9" spans="1:3" x14ac:dyDescent="0.3">
      <c r="A9" s="3" t="s">
        <v>8</v>
      </c>
      <c r="B9" t="s">
        <v>75</v>
      </c>
    </row>
    <row r="11" spans="1:3" x14ac:dyDescent="0.3">
      <c r="B11" s="4" t="str">
        <f>_xlfn.XLOOKUP($B$5,$B$4:$B$7,$C$4:$C$7)</f>
        <v>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Shirodkar</dc:creator>
  <cp:lastModifiedBy>Abhishek Shirodkar</cp:lastModifiedBy>
  <dcterms:created xsi:type="dcterms:W3CDTF">2025-12-11T13:25:10Z</dcterms:created>
  <dcterms:modified xsi:type="dcterms:W3CDTF">2025-12-11T15:08:47Z</dcterms:modified>
</cp:coreProperties>
</file>