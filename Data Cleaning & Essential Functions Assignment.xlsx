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d2e4e32c79d5415/Desktop/"/>
    </mc:Choice>
  </mc:AlternateContent>
  <xr:revisionPtr revIDLastSave="288" documentId="8_{6CF773F9-D399-4FA8-9FF9-FD62AFB160AF}" xr6:coauthVersionLast="47" xr6:coauthVersionMax="47" xr10:uidLastSave="{72096C54-B71C-4CA1-A2B5-C99D0C55D121}"/>
  <bookViews>
    <workbookView xWindow="-108" yWindow="-108" windowWidth="23256" windowHeight="12456" activeTab="7" xr2:uid="{7B9A209D-219A-4C91-A8F7-5CE3866A8E1B}"/>
  </bookViews>
  <sheets>
    <sheet name="Q1" sheetId="1" r:id="rId1"/>
    <sheet name="Q2" sheetId="2" r:id="rId2"/>
    <sheet name="Q3" sheetId="3" r:id="rId3"/>
    <sheet name="Q4" sheetId="4" r:id="rId4"/>
    <sheet name="Q5" sheetId="5" r:id="rId5"/>
    <sheet name="Q6" sheetId="6" r:id="rId6"/>
    <sheet name="Q7" sheetId="7" r:id="rId7"/>
    <sheet name="Q8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4" i="8" l="1"/>
  <c r="C11" i="8"/>
  <c r="C8" i="8"/>
  <c r="C5" i="8"/>
  <c r="C6" i="4"/>
  <c r="D23" i="7"/>
  <c r="D24" i="7"/>
  <c r="D25" i="7"/>
  <c r="D26" i="7"/>
  <c r="D22" i="7"/>
  <c r="F13" i="7"/>
  <c r="F10" i="7"/>
  <c r="F7" i="7"/>
  <c r="F4" i="7"/>
  <c r="D16" i="6"/>
  <c r="D13" i="6"/>
  <c r="D10" i="6"/>
  <c r="D7" i="6"/>
  <c r="D4" i="6"/>
  <c r="C22" i="3"/>
  <c r="C18" i="3"/>
  <c r="C14" i="3"/>
  <c r="C10" i="3"/>
  <c r="C6" i="3"/>
</calcChain>
</file>

<file path=xl/sharedStrings.xml><?xml version="1.0" encoding="utf-8"?>
<sst xmlns="http://schemas.openxmlformats.org/spreadsheetml/2006/main" count="273" uniqueCount="161">
  <si>
    <t>Question:-</t>
  </si>
  <si>
    <t>a)</t>
  </si>
  <si>
    <t>What is data cleaning, and why is it important in data analysis?</t>
  </si>
  <si>
    <t>Answer:-</t>
  </si>
  <si>
    <t>Data cleaning in data analytics is the process to detect and correct/remove the errors,irrelevant, inconsistent, and inaccurate data in a dataset. It ensures that the data is accurate, complete, and reliable before analysis.</t>
  </si>
  <si>
    <t>Data cleaning is important to get quality/reliable and accurate data from dataset, so that will get accurate results, correct insights and better decision-making approach. If data cannot be clean and used as it is it can lead to wrong insights and poor decision-making</t>
  </si>
  <si>
    <t>b)</t>
  </si>
  <si>
    <t>What are the potential consequences of analyzing unclean or messy data?</t>
  </si>
  <si>
    <t>c)</t>
  </si>
  <si>
    <t>Explain the common steps involved in cleaning and organizing data.</t>
  </si>
  <si>
    <t>The Common steps can be:-</t>
  </si>
  <si>
    <t>Collecting, Importing and Understanding the dataset.</t>
  </si>
  <si>
    <t>Identify and remove duplicate entries.</t>
  </si>
  <si>
    <t>Remove irrelevant or outlier data</t>
  </si>
  <si>
    <t>Finally again Validate data accuracy and consistency.</t>
  </si>
  <si>
    <t>How would you sort the following dataset first by "Department" (A-Z) and then by "Salary" (Largest to Smallest)? Write a step-by-step approach.</t>
  </si>
  <si>
    <t>Employee</t>
  </si>
  <si>
    <t>Department</t>
  </si>
  <si>
    <t>Salary</t>
  </si>
  <si>
    <t>Sonu</t>
  </si>
  <si>
    <t>IT</t>
  </si>
  <si>
    <t>Pranav</t>
  </si>
  <si>
    <t>HR</t>
  </si>
  <si>
    <t>Rahul</t>
  </si>
  <si>
    <t>Explain the use of text functions such as TRIM , LEFT, RIGHT, MID, and CONCAT in data cleaning.</t>
  </si>
  <si>
    <t>1)TRIM:-</t>
  </si>
  <si>
    <t>Trim function is basically used to removes the extra/additonal/unnecessary spaces from text/sentence, it can removes space from both start and end of sentence/text.</t>
  </si>
  <si>
    <t>For e.g</t>
  </si>
  <si>
    <t>Hrushikesh</t>
  </si>
  <si>
    <t>(Name having 2 extra space at start and end)</t>
  </si>
  <si>
    <t>Function/formula</t>
  </si>
  <si>
    <t>2)LEFT:-</t>
  </si>
  <si>
    <t>Left function is type of data extraction function which helps or used to extract specified number of characters from a word present in excel cells from the left side/ start of word.</t>
  </si>
  <si>
    <t>Extracting first 6 charater from Hrushikesh</t>
  </si>
  <si>
    <t>3) RIGHT:-</t>
  </si>
  <si>
    <t>Right function is type of data extraction function which helps or used to extract specified number of characters from a word present in excel cells from the Right side/ End of word.</t>
  </si>
  <si>
    <t>Extracting last 9 charater from Hrushikesh</t>
  </si>
  <si>
    <t>4)MID:-</t>
  </si>
  <si>
    <t>Right function is type of data extraction function which helps or used to extract specified number of characters from a word present in excel cells from middle of words/sentences.</t>
  </si>
  <si>
    <t>Hrushikesh Bhausaheb Sanap</t>
  </si>
  <si>
    <t>Extracting Middle name from Full name</t>
  </si>
  <si>
    <t>Bhausaheb</t>
  </si>
  <si>
    <t>5) CONCAT:-</t>
  </si>
  <si>
    <t>Concat/Concatenate is type of data combine function which helps or used to combine/joint the data/words from different cells.</t>
  </si>
  <si>
    <t>Sanap</t>
  </si>
  <si>
    <t>Combining First,middle and last name.</t>
  </si>
  <si>
    <t>What is the role of date functions like TODAY in managing datasets?</t>
  </si>
  <si>
    <t>Apply Data Validation to restrict Quantity values to only whole numbers between 1 and 10.</t>
  </si>
  <si>
    <t>Configure an input message that appears when a user selects a cell in the "Quantity" column explaining: "Please enter a whole number between 1 and 10."</t>
  </si>
  <si>
    <t>Set up an error alert message that triggers if the user enters a number less than 1 or greater than 10, showing: "Invalid input! The quantity must be a whole number between 1 and 10."</t>
  </si>
  <si>
    <t>Write a step-by-step approach for this question</t>
  </si>
  <si>
    <t>Customer Name</t>
  </si>
  <si>
    <t>Product Name</t>
  </si>
  <si>
    <t>Category</t>
  </si>
  <si>
    <t>Quantity</t>
  </si>
  <si>
    <t>Unit Price ($)</t>
  </si>
  <si>
    <t>Jane Smith</t>
  </si>
  <si>
    <t>Shoes</t>
  </si>
  <si>
    <t>Electronics</t>
  </si>
  <si>
    <t>Isabella Moore</t>
  </si>
  <si>
    <t>Laptop</t>
  </si>
  <si>
    <t>Daniel Davis</t>
  </si>
  <si>
    <t>Sofa</t>
  </si>
  <si>
    <t>Clothing</t>
  </si>
  <si>
    <t>Alex Moore</t>
  </si>
  <si>
    <t>Michael Johnson</t>
  </si>
  <si>
    <t>Table Lamp</t>
  </si>
  <si>
    <t>Home Decor</t>
  </si>
  <si>
    <t>Daniel Johnson</t>
  </si>
  <si>
    <t>Backpack</t>
  </si>
  <si>
    <t>Isabella Davis</t>
  </si>
  <si>
    <t>Headphones</t>
  </si>
  <si>
    <t>Jane Davis</t>
  </si>
  <si>
    <t>Alex Wilson</t>
  </si>
  <si>
    <t>T-shirt</t>
  </si>
  <si>
    <t>Understand and apply fundamental text functions like LEFT, RIGHT, MID, and LEN.</t>
  </si>
  <si>
    <t>A)</t>
  </si>
  <si>
    <t>Extract the first 5 characters from the string "ExcelTipsAreGreat" using the LEFT function</t>
  </si>
  <si>
    <t>ExcelTipsAreGreat</t>
  </si>
  <si>
    <t>B)</t>
  </si>
  <si>
    <t>Extract the last 4 characters from "DataAnalysis.xlsx" using the RIGHT function.</t>
  </si>
  <si>
    <t>DataAnalysis.xlsx</t>
  </si>
  <si>
    <t>C)</t>
  </si>
  <si>
    <t>Extract the substring "Tips" from "ExcelTipsAreGreat" using the MID function</t>
  </si>
  <si>
    <t>D)</t>
  </si>
  <si>
    <t>Count the total number of characters in the string "Hello World!" using the LEN function.</t>
  </si>
  <si>
    <t>Hello World!</t>
  </si>
  <si>
    <t>E)</t>
  </si>
  <si>
    <t>Create a formula to extract the middle 6 characters from "12345-67890-ABCDE".</t>
  </si>
  <si>
    <t>12345-67890-ABCDE</t>
  </si>
  <si>
    <t>We will use MID formula</t>
  </si>
  <si>
    <t>Understand how to combine text using CONCAT, TEXTJOIN, and the &amp; operator.</t>
  </si>
  <si>
    <t>Use CONCAT to combine "Hello" and "World" with a space in between.</t>
  </si>
  <si>
    <t>Hello</t>
  </si>
  <si>
    <t>World</t>
  </si>
  <si>
    <t>Combine "Apple", "Banana", and "Cherry" into a single string separated by commas using TEXTJOIN.</t>
  </si>
  <si>
    <t>Apple</t>
  </si>
  <si>
    <t>Banana</t>
  </si>
  <si>
    <t>Cherry</t>
  </si>
  <si>
    <t>Use the &amp; operator to create the string "2025: Excel Functions" by combining "2025", ": ", and "Excel Functions".</t>
  </si>
  <si>
    <t>:</t>
  </si>
  <si>
    <t>Excel Functions</t>
  </si>
  <si>
    <t>Create a comma-separated list from the range A1:A5 using TEXTJOIN</t>
  </si>
  <si>
    <t>List</t>
  </si>
  <si>
    <t>Combine first names in column A with last names in column B to create full names in column C.</t>
  </si>
  <si>
    <t>Column A</t>
  </si>
  <si>
    <t>Column B</t>
  </si>
  <si>
    <t>Column C</t>
  </si>
  <si>
    <t>Jane</t>
  </si>
  <si>
    <t>Smith</t>
  </si>
  <si>
    <t>Isabella</t>
  </si>
  <si>
    <t>Moore</t>
  </si>
  <si>
    <t>Daniel</t>
  </si>
  <si>
    <t>Davis</t>
  </si>
  <si>
    <t>Alex</t>
  </si>
  <si>
    <t>Michael</t>
  </si>
  <si>
    <t>Johnson</t>
  </si>
  <si>
    <t>Understanding TODAY() and NOW()</t>
  </si>
  <si>
    <t>What is the difference between TODAY() and NOW() in Excel? Provide an example of when you would use each function.</t>
  </si>
  <si>
    <t>If cell A1 contains the date 2025-06-10, write a formula using TODAY() to determine how many days are left until that date</t>
  </si>
  <si>
    <t>Write an Excel formula using NOW() to display the current date and time in the format MM/DD/YYYY HH:MM AM/PM'.</t>
  </si>
  <si>
    <t>If a cell contains =TODAY(), what will happen when the worksheet is reopened the next day? Explain</t>
  </si>
  <si>
    <t>You want to store a static date (today’s date) in a cell without it changing every day. What keyboard shortcut shoud you use?</t>
  </si>
  <si>
    <t>The potential consequences of Unclean Data can be:-Poor decision-making; Misleading analytical results; Wrong Insights and Conclusions; Wastage of time and resources.</t>
  </si>
  <si>
    <t>Identify Incorrect or Inconsistent Data and Correcting it by sorting &amp; filtering.</t>
  </si>
  <si>
    <t>Missing Values Correction by filling the blanks.</t>
  </si>
  <si>
    <t>Standardizing and Normalizing Data by data validation, Text to Columns, text functions etc.</t>
  </si>
  <si>
    <t>To solve above question we use Sort &amp; Filter option available in home tab.</t>
  </si>
  <si>
    <t>Step 1:-</t>
  </si>
  <si>
    <t>Select the data</t>
  </si>
  <si>
    <t>Step 2:-</t>
  </si>
  <si>
    <t>Step 3:-</t>
  </si>
  <si>
    <t>Step 4:-</t>
  </si>
  <si>
    <t>To sort salary (Largest to Smallest), select option "Add level" to get another sorting conditon.</t>
  </si>
  <si>
    <t>Step 5:-</t>
  </si>
  <si>
    <t>Similarly, In "Sort By" dropdown select" Salary" ; Keep "Sort On" as "Cell Values"; And "Order" as "Largest to Smallest"</t>
  </si>
  <si>
    <t>Step 6:-</t>
  </si>
  <si>
    <t>Click Ok to apply the Sorting.</t>
  </si>
  <si>
    <t>First to sort Department (A-Z) , In "Sort By" dropdown select" Department" ; Keep "Sort On" as "Cell Values"; And "Order" as "A to Z"</t>
  </si>
  <si>
    <t>Click on "Sort &amp; Filter" and select "Custom sort" option.</t>
  </si>
  <si>
    <t xml:space="preserve">  Hrushikesh  </t>
  </si>
  <si>
    <t>To solve above question we have to use "DATA VALIDATION" approach available in data tab.</t>
  </si>
  <si>
    <t>Select the Quantity Column till validation required.</t>
  </si>
  <si>
    <t xml:space="preserve">Step 2:- </t>
  </si>
  <si>
    <t>Navigate to Data Validation in Data Tab.</t>
  </si>
  <si>
    <t>Select Data Validation option.</t>
  </si>
  <si>
    <t xml:space="preserve">Step 4:- </t>
  </si>
  <si>
    <t>Step 5(a):-</t>
  </si>
  <si>
    <t>Click on "Input Message"--&gt; In Title write "Quantity Entry"--&gt; In Message write "Please enter a whole number between 1 and 10."</t>
  </si>
  <si>
    <t>In Dialog box- Click on "Settings"--&gt;Allow: "Whole Number"--&gt;Data: "Between"--&gt;Minimum: "1"--&gt;Maximum: "10".</t>
  </si>
  <si>
    <t>Click On "Error Alert"--&gt;Style "Stop"--&gt;Title "Invalid Input"--&gt;Message write  "Invalid input! The quantity must be a whole number between 1 and 10."</t>
  </si>
  <si>
    <t>Step 6(b):-</t>
  </si>
  <si>
    <t>Step 7:-</t>
  </si>
  <si>
    <t>Click Ok after which will able to see input message and only 1-10 values are allowed in Qunatity column but if you enter value less than 1 and more than 10 you will get error message.</t>
  </si>
  <si>
    <t>Today(=Today) Function gives the current date</t>
  </si>
  <si>
    <t>For e.g:-</t>
  </si>
  <si>
    <t>It can be used to create dynamic reports and to track when data was updated.</t>
  </si>
  <si>
    <t>Today(=Today) function will give only current date and it is used when only date is required.</t>
  </si>
  <si>
    <t>Now (=Now) function will give current date and current time. It is used when we need date and time both.</t>
  </si>
  <si>
    <t>If Today Function is applied to any specific cell and if we open that worksheet, next day the date will automatically changes to next day date(current date).</t>
  </si>
  <si>
    <t>In order to make date static we can use following shortcut "Ctrl+;(semicolon)" to Today formula.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</si>
</sst>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3" fillId="0" borderId="1" xfId="0" applyFont="1" applyBorder="1" applyAlignment="1">
      <alignment vertical="center"/>
    </xf>
    <xf numFmtId="0" fontId="2" fillId="0" borderId="0" xfId="0" applyFont="1" applyBorder="1" applyAlignment="1">
      <alignment wrapText="1"/>
    </xf>
    <xf numFmtId="0" fontId="3" fillId="0" borderId="0" xfId="0" applyFont="1" applyBorder="1" applyAlignment="1">
      <alignment wrapText="1"/>
    </xf>
    <xf numFmtId="0" fontId="2" fillId="0" borderId="0" xfId="0" applyFont="1" applyBorder="1" applyAlignment="1">
      <alignment horizontal="right" wrapText="1"/>
    </xf>
    <xf numFmtId="0" fontId="3" fillId="0" borderId="0" xfId="0" applyFont="1" applyBorder="1" applyAlignment="1">
      <alignment vertical="center"/>
    </xf>
    <xf numFmtId="0" fontId="0" fillId="0" borderId="0" xfId="0" applyBorder="1"/>
    <xf numFmtId="0" fontId="3" fillId="0" borderId="0" xfId="0" applyFont="1" applyBorder="1" applyAlignment="1">
      <alignment horizontal="right" wrapText="1"/>
    </xf>
    <xf numFmtId="0" fontId="3" fillId="0" borderId="2" xfId="0" applyFont="1" applyBorder="1" applyAlignment="1">
      <alignment wrapText="1"/>
    </xf>
    <xf numFmtId="0" fontId="3" fillId="0" borderId="2" xfId="0" applyFont="1" applyBorder="1" applyAlignment="1">
      <alignment horizontal="right" wrapText="1"/>
    </xf>
    <xf numFmtId="0" fontId="3" fillId="2" borderId="0" xfId="0" applyFont="1" applyFill="1" applyBorder="1" applyAlignment="1">
      <alignment wrapText="1"/>
    </xf>
    <xf numFmtId="0" fontId="2" fillId="0" borderId="0" xfId="0" applyFont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2" fillId="0" borderId="0" xfId="0" applyFont="1" applyBorder="1" applyAlignment="1"/>
    <xf numFmtId="0" fontId="3" fillId="0" borderId="0" xfId="0" applyFont="1" applyBorder="1" applyAlignment="1"/>
    <xf numFmtId="0" fontId="0" fillId="0" borderId="0" xfId="0" applyAlignment="1"/>
    <xf numFmtId="0" fontId="3" fillId="0" borderId="0" xfId="0" applyFont="1" applyBorder="1" applyAlignment="1">
      <alignment horizontal="right"/>
    </xf>
    <xf numFmtId="0" fontId="2" fillId="0" borderId="0" xfId="0" applyFont="1" applyBorder="1" applyAlignment="1">
      <alignment horizontal="right"/>
    </xf>
    <xf numFmtId="0" fontId="3" fillId="2" borderId="0" xfId="0" applyFont="1" applyFill="1" applyBorder="1" applyAlignment="1"/>
    <xf numFmtId="0" fontId="3" fillId="0" borderId="0" xfId="0" applyFont="1" applyBorder="1" applyAlignment="1">
      <alignment horizontal="center"/>
    </xf>
    <xf numFmtId="0" fontId="2" fillId="0" borderId="2" xfId="0" applyFont="1" applyBorder="1" applyAlignment="1"/>
    <xf numFmtId="0" fontId="3" fillId="0" borderId="2" xfId="0" applyFont="1" applyBorder="1" applyAlignment="1"/>
    <xf numFmtId="0" fontId="3" fillId="2" borderId="2" xfId="0" applyFont="1" applyFill="1" applyBorder="1" applyAlignment="1"/>
    <xf numFmtId="0" fontId="3" fillId="0" borderId="2" xfId="0" applyFont="1" applyBorder="1" applyAlignment="1">
      <alignment horizontal="right"/>
    </xf>
    <xf numFmtId="0" fontId="2" fillId="0" borderId="1" xfId="0" applyFont="1" applyBorder="1" applyAlignment="1"/>
    <xf numFmtId="0" fontId="3" fillId="0" borderId="1" xfId="0" applyFont="1" applyBorder="1" applyAlignment="1"/>
    <xf numFmtId="0" fontId="1" fillId="0" borderId="0" xfId="0" applyFont="1"/>
    <xf numFmtId="0" fontId="2" fillId="2" borderId="2" xfId="0" applyFont="1" applyFill="1" applyBorder="1" applyAlignment="1"/>
    <xf numFmtId="0" fontId="3" fillId="2" borderId="2" xfId="0" applyFont="1" applyFill="1" applyBorder="1" applyAlignment="1">
      <alignment wrapText="1"/>
    </xf>
    <xf numFmtId="0" fontId="3" fillId="2" borderId="2" xfId="0" applyFont="1" applyFill="1" applyBorder="1" applyAlignment="1">
      <alignment horizontal="right" wrapText="1"/>
    </xf>
    <xf numFmtId="0" fontId="0" fillId="0" borderId="0" xfId="0" applyBorder="1" applyAlignment="1"/>
    <xf numFmtId="0" fontId="3" fillId="2" borderId="0" xfId="0" applyFont="1" applyFill="1" applyBorder="1" applyAlignment="1">
      <alignment horizontal="left"/>
    </xf>
    <xf numFmtId="0" fontId="1" fillId="0" borderId="0" xfId="0" applyFont="1" applyAlignment="1"/>
    <xf numFmtId="0" fontId="1" fillId="0" borderId="0" xfId="0" applyFont="1" applyFill="1" applyBorder="1" applyAlignment="1"/>
    <xf numFmtId="14" fontId="0" fillId="2" borderId="0" xfId="0" applyNumberFormat="1" applyFill="1" applyAlignment="1"/>
    <xf numFmtId="14" fontId="3" fillId="0" borderId="0" xfId="0" applyNumberFormat="1" applyFont="1" applyBorder="1" applyAlignment="1"/>
    <xf numFmtId="22" fontId="0" fillId="0" borderId="0" xfId="0" applyNumberFormat="1"/>
    <xf numFmtId="14" fontId="3" fillId="0" borderId="2" xfId="0" applyNumberFormat="1" applyFont="1" applyBorder="1" applyAlignment="1"/>
    <xf numFmtId="14" fontId="3" fillId="2" borderId="0" xfId="0" applyNumberFormat="1" applyFont="1" applyFill="1" applyBorder="1" applyAlignment="1"/>
    <xf numFmtId="22" fontId="0" fillId="2" borderId="0" xfId="0" applyNumberFormat="1" applyFill="1"/>
    <xf numFmtId="0" fontId="0" fillId="2" borderId="0" xfId="0" applyNumberFormat="1" applyFill="1"/>
    <xf numFmtId="22" fontId="3" fillId="2" borderId="0" xfId="0" applyNumberFormat="1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9BF92C-FE67-4DEE-8A73-B48FFCBB33CD}">
  <dimension ref="A1:D18"/>
  <sheetViews>
    <sheetView workbookViewId="0">
      <selection activeCell="B17" sqref="B17"/>
    </sheetView>
  </sheetViews>
  <sheetFormatPr defaultRowHeight="14.4" x14ac:dyDescent="0.3"/>
  <cols>
    <col min="1" max="1" width="12" style="6" customWidth="1"/>
    <col min="2" max="4" width="8.88671875" style="6"/>
  </cols>
  <sheetData>
    <row r="1" spans="1:4" x14ac:dyDescent="0.3">
      <c r="A1" s="2" t="s">
        <v>0</v>
      </c>
      <c r="B1" s="3"/>
      <c r="C1" s="3"/>
      <c r="D1" s="3"/>
    </row>
    <row r="2" spans="1:4" x14ac:dyDescent="0.3">
      <c r="A2" s="4" t="s">
        <v>1</v>
      </c>
      <c r="B2" s="5" t="s">
        <v>2</v>
      </c>
      <c r="C2" s="3"/>
      <c r="D2" s="3"/>
    </row>
    <row r="3" spans="1:4" x14ac:dyDescent="0.3">
      <c r="A3" s="4" t="s">
        <v>3</v>
      </c>
      <c r="B3" s="5" t="s">
        <v>4</v>
      </c>
      <c r="C3" s="3"/>
      <c r="D3" s="3"/>
    </row>
    <row r="4" spans="1:4" x14ac:dyDescent="0.3">
      <c r="A4" s="3"/>
      <c r="B4" s="5" t="s">
        <v>5</v>
      </c>
      <c r="C4" s="3"/>
      <c r="D4" s="3"/>
    </row>
    <row r="5" spans="1:4" x14ac:dyDescent="0.3">
      <c r="A5" s="3"/>
      <c r="B5" s="3"/>
      <c r="C5" s="3"/>
      <c r="D5" s="3"/>
    </row>
    <row r="6" spans="1:4" x14ac:dyDescent="0.3">
      <c r="A6" s="4" t="s">
        <v>6</v>
      </c>
      <c r="B6" s="5" t="s">
        <v>7</v>
      </c>
      <c r="C6" s="3"/>
      <c r="D6" s="3"/>
    </row>
    <row r="7" spans="1:4" x14ac:dyDescent="0.3">
      <c r="A7" s="4" t="s">
        <v>3</v>
      </c>
      <c r="B7" s="5" t="s">
        <v>123</v>
      </c>
      <c r="C7" s="3"/>
      <c r="D7" s="3"/>
    </row>
    <row r="8" spans="1:4" x14ac:dyDescent="0.3">
      <c r="A8" s="3"/>
      <c r="B8" s="3"/>
      <c r="C8" s="3"/>
      <c r="D8" s="3"/>
    </row>
    <row r="9" spans="1:4" x14ac:dyDescent="0.3">
      <c r="A9" s="4" t="s">
        <v>8</v>
      </c>
      <c r="B9" s="5" t="s">
        <v>9</v>
      </c>
      <c r="C9" s="3"/>
      <c r="D9" s="3"/>
    </row>
    <row r="10" spans="1:4" x14ac:dyDescent="0.3">
      <c r="A10" s="4" t="s">
        <v>3</v>
      </c>
      <c r="B10" s="5" t="s">
        <v>10</v>
      </c>
      <c r="C10" s="3"/>
      <c r="D10" s="3"/>
    </row>
    <row r="11" spans="1:4" x14ac:dyDescent="0.3">
      <c r="A11" s="3"/>
      <c r="B11" s="5" t="s">
        <v>11</v>
      </c>
      <c r="C11" s="3"/>
      <c r="D11" s="3"/>
    </row>
    <row r="12" spans="1:4" x14ac:dyDescent="0.3">
      <c r="A12" s="3"/>
      <c r="B12" s="5" t="s">
        <v>124</v>
      </c>
      <c r="C12" s="3"/>
      <c r="D12" s="3"/>
    </row>
    <row r="13" spans="1:4" x14ac:dyDescent="0.3">
      <c r="A13" s="3"/>
      <c r="B13" s="5" t="s">
        <v>12</v>
      </c>
      <c r="C13" s="3"/>
      <c r="D13" s="3"/>
    </row>
    <row r="14" spans="1:4" x14ac:dyDescent="0.3">
      <c r="A14" s="3"/>
      <c r="B14" s="5" t="s">
        <v>125</v>
      </c>
      <c r="C14" s="3"/>
      <c r="D14" s="3"/>
    </row>
    <row r="15" spans="1:4" x14ac:dyDescent="0.3">
      <c r="A15" s="3"/>
      <c r="B15" s="5" t="s">
        <v>126</v>
      </c>
      <c r="C15" s="3"/>
      <c r="D15" s="3"/>
    </row>
    <row r="16" spans="1:4" x14ac:dyDescent="0.3">
      <c r="A16" s="3"/>
      <c r="B16" s="5" t="s">
        <v>13</v>
      </c>
      <c r="C16" s="3"/>
      <c r="D16" s="3"/>
    </row>
    <row r="17" spans="1:4" x14ac:dyDescent="0.3">
      <c r="A17" s="3"/>
      <c r="B17" s="5" t="s">
        <v>14</v>
      </c>
      <c r="C17" s="3"/>
      <c r="D17" s="3"/>
    </row>
    <row r="18" spans="1:4" x14ac:dyDescent="0.3">
      <c r="A18" s="3"/>
      <c r="B18" s="3"/>
      <c r="C18" s="3"/>
      <c r="D18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1835C3-8758-42E6-95C4-CC76CD212325}">
  <dimension ref="A1:E20"/>
  <sheetViews>
    <sheetView workbookViewId="0">
      <selection activeCell="H16" sqref="H16"/>
    </sheetView>
  </sheetViews>
  <sheetFormatPr defaultRowHeight="14.4" x14ac:dyDescent="0.3"/>
  <cols>
    <col min="1" max="1" width="12.6640625" customWidth="1"/>
    <col min="3" max="3" width="13.44140625" customWidth="1"/>
  </cols>
  <sheetData>
    <row r="1" spans="1:5" s="15" customFormat="1" x14ac:dyDescent="0.3">
      <c r="A1" s="13" t="s">
        <v>0</v>
      </c>
      <c r="B1" s="5" t="s">
        <v>15</v>
      </c>
      <c r="C1" s="14"/>
      <c r="D1" s="14"/>
      <c r="E1" s="14"/>
    </row>
    <row r="2" spans="1:5" x14ac:dyDescent="0.3">
      <c r="A2" s="3"/>
      <c r="B2" s="3"/>
      <c r="C2" s="3"/>
      <c r="D2" s="3"/>
      <c r="E2" s="3"/>
    </row>
    <row r="3" spans="1:5" s="15" customFormat="1" x14ac:dyDescent="0.3">
      <c r="A3" s="14"/>
      <c r="B3" s="20" t="s">
        <v>16</v>
      </c>
      <c r="C3" s="20" t="s">
        <v>17</v>
      </c>
      <c r="D3" s="20" t="s">
        <v>18</v>
      </c>
      <c r="E3" s="14"/>
    </row>
    <row r="4" spans="1:5" x14ac:dyDescent="0.3">
      <c r="A4" s="3"/>
      <c r="B4" s="8" t="s">
        <v>19</v>
      </c>
      <c r="C4" s="8" t="s">
        <v>20</v>
      </c>
      <c r="D4" s="9">
        <v>4000</v>
      </c>
      <c r="E4" s="3"/>
    </row>
    <row r="5" spans="1:5" x14ac:dyDescent="0.3">
      <c r="A5" s="3"/>
      <c r="B5" s="8" t="s">
        <v>21</v>
      </c>
      <c r="C5" s="8" t="s">
        <v>22</v>
      </c>
      <c r="D5" s="9">
        <v>5000</v>
      </c>
      <c r="E5" s="3"/>
    </row>
    <row r="6" spans="1:5" x14ac:dyDescent="0.3">
      <c r="A6" s="3"/>
      <c r="B6" s="8" t="s">
        <v>23</v>
      </c>
      <c r="C6" s="8" t="s">
        <v>20</v>
      </c>
      <c r="D6" s="9">
        <v>2500</v>
      </c>
      <c r="E6" s="3"/>
    </row>
    <row r="8" spans="1:5" x14ac:dyDescent="0.3">
      <c r="A8" s="26" t="s">
        <v>3</v>
      </c>
    </row>
    <row r="9" spans="1:5" s="15" customFormat="1" x14ac:dyDescent="0.3">
      <c r="A9" s="15" t="s">
        <v>127</v>
      </c>
    </row>
    <row r="10" spans="1:5" x14ac:dyDescent="0.3">
      <c r="A10" s="26" t="s">
        <v>128</v>
      </c>
      <c r="B10" t="s">
        <v>129</v>
      </c>
    </row>
    <row r="11" spans="1:5" x14ac:dyDescent="0.3">
      <c r="A11" s="26" t="s">
        <v>130</v>
      </c>
      <c r="B11" t="s">
        <v>139</v>
      </c>
    </row>
    <row r="12" spans="1:5" x14ac:dyDescent="0.3">
      <c r="A12" s="26" t="s">
        <v>131</v>
      </c>
      <c r="B12" t="s">
        <v>138</v>
      </c>
    </row>
    <row r="13" spans="1:5" x14ac:dyDescent="0.3">
      <c r="A13" s="26" t="s">
        <v>132</v>
      </c>
      <c r="B13" t="s">
        <v>133</v>
      </c>
    </row>
    <row r="14" spans="1:5" x14ac:dyDescent="0.3">
      <c r="A14" s="26" t="s">
        <v>134</v>
      </c>
      <c r="B14" t="s">
        <v>135</v>
      </c>
    </row>
    <row r="15" spans="1:5" x14ac:dyDescent="0.3">
      <c r="A15" s="26" t="s">
        <v>136</v>
      </c>
      <c r="B15" t="s">
        <v>137</v>
      </c>
    </row>
    <row r="17" spans="2:4" x14ac:dyDescent="0.3">
      <c r="B17" s="27" t="s">
        <v>16</v>
      </c>
      <c r="C17" s="27" t="s">
        <v>17</v>
      </c>
      <c r="D17" s="27" t="s">
        <v>18</v>
      </c>
    </row>
    <row r="18" spans="2:4" x14ac:dyDescent="0.3">
      <c r="B18" s="28" t="s">
        <v>21</v>
      </c>
      <c r="C18" s="28" t="s">
        <v>22</v>
      </c>
      <c r="D18" s="29">
        <v>5000</v>
      </c>
    </row>
    <row r="19" spans="2:4" x14ac:dyDescent="0.3">
      <c r="B19" s="28" t="s">
        <v>19</v>
      </c>
      <c r="C19" s="28" t="s">
        <v>20</v>
      </c>
      <c r="D19" s="29">
        <v>4000</v>
      </c>
    </row>
    <row r="20" spans="2:4" x14ac:dyDescent="0.3">
      <c r="B20" s="28" t="s">
        <v>23</v>
      </c>
      <c r="C20" s="28" t="s">
        <v>20</v>
      </c>
      <c r="D20" s="29">
        <v>2500</v>
      </c>
    </row>
  </sheetData>
  <sortState xmlns:xlrd2="http://schemas.microsoft.com/office/spreadsheetml/2017/richdata2" ref="B18:D20">
    <sortCondition ref="C18:C20"/>
    <sortCondition descending="1" ref="D18:D20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4532F6-2934-47E5-B0F9-A12922EDB3C5}">
  <dimension ref="A1:G22"/>
  <sheetViews>
    <sheetView workbookViewId="0">
      <selection activeCell="C22" sqref="C22"/>
    </sheetView>
  </sheetViews>
  <sheetFormatPr defaultRowHeight="14.4" x14ac:dyDescent="0.3"/>
  <cols>
    <col min="1" max="1" width="16" style="15" customWidth="1"/>
    <col min="2" max="2" width="8.88671875" style="15"/>
    <col min="3" max="3" width="29.6640625" style="15" customWidth="1"/>
    <col min="4" max="4" width="13.44140625" style="15" customWidth="1"/>
    <col min="5" max="16384" width="8.88671875" style="15"/>
  </cols>
  <sheetData>
    <row r="1" spans="1:7" x14ac:dyDescent="0.3">
      <c r="A1" s="13" t="s">
        <v>0</v>
      </c>
      <c r="B1" s="5" t="s">
        <v>24</v>
      </c>
      <c r="C1" s="14"/>
      <c r="D1" s="14"/>
      <c r="E1" s="14"/>
      <c r="F1" s="14"/>
      <c r="G1" s="14"/>
    </row>
    <row r="2" spans="1:7" x14ac:dyDescent="0.3">
      <c r="A2" s="14"/>
      <c r="B2" s="14"/>
      <c r="C2" s="14"/>
      <c r="D2" s="14"/>
      <c r="E2" s="14"/>
      <c r="F2" s="14"/>
      <c r="G2" s="14"/>
    </row>
    <row r="3" spans="1:7" x14ac:dyDescent="0.3">
      <c r="A3" s="13" t="s">
        <v>3</v>
      </c>
      <c r="B3" s="14"/>
      <c r="C3" s="14"/>
      <c r="D3" s="14"/>
      <c r="E3" s="14"/>
      <c r="F3" s="14"/>
      <c r="G3" s="14"/>
    </row>
    <row r="4" spans="1:7" x14ac:dyDescent="0.3">
      <c r="A4" s="13" t="s">
        <v>25</v>
      </c>
      <c r="B4" s="5" t="s">
        <v>26</v>
      </c>
      <c r="C4" s="14"/>
      <c r="D4" s="14"/>
      <c r="E4" s="14"/>
      <c r="F4" s="14"/>
      <c r="G4" s="14"/>
    </row>
    <row r="5" spans="1:7" x14ac:dyDescent="0.3">
      <c r="A5" s="14"/>
      <c r="B5" s="13" t="s">
        <v>27</v>
      </c>
      <c r="C5" s="14" t="s">
        <v>140</v>
      </c>
      <c r="D5" s="11" t="s">
        <v>29</v>
      </c>
      <c r="E5" s="14"/>
      <c r="F5" s="14"/>
      <c r="G5" s="14"/>
    </row>
    <row r="6" spans="1:7" x14ac:dyDescent="0.3">
      <c r="A6" s="14"/>
      <c r="B6" s="13" t="s">
        <v>30</v>
      </c>
      <c r="C6" s="18" t="str">
        <f>TRIM($C$5)</f>
        <v>Hrushikesh</v>
      </c>
      <c r="D6" s="14"/>
      <c r="E6" s="14"/>
      <c r="F6" s="14"/>
      <c r="G6" s="14"/>
    </row>
    <row r="7" spans="1:7" x14ac:dyDescent="0.3">
      <c r="A7" s="14"/>
      <c r="B7" s="14"/>
      <c r="C7" s="14"/>
      <c r="D7" s="14"/>
      <c r="E7" s="14"/>
      <c r="F7" s="14"/>
      <c r="G7" s="14"/>
    </row>
    <row r="8" spans="1:7" x14ac:dyDescent="0.3">
      <c r="A8" s="13" t="s">
        <v>31</v>
      </c>
      <c r="B8" s="5" t="s">
        <v>32</v>
      </c>
      <c r="C8" s="14"/>
      <c r="D8" s="14"/>
      <c r="E8" s="14"/>
      <c r="F8" s="14"/>
      <c r="G8" s="14"/>
    </row>
    <row r="9" spans="1:7" x14ac:dyDescent="0.3">
      <c r="A9" s="14"/>
      <c r="B9" s="13" t="s">
        <v>27</v>
      </c>
      <c r="C9" s="14" t="s">
        <v>28</v>
      </c>
      <c r="D9" s="11" t="s">
        <v>33</v>
      </c>
      <c r="E9" s="14"/>
      <c r="F9" s="14"/>
      <c r="G9" s="14"/>
    </row>
    <row r="10" spans="1:7" x14ac:dyDescent="0.3">
      <c r="A10" s="14"/>
      <c r="B10" s="13" t="s">
        <v>30</v>
      </c>
      <c r="C10" s="18" t="str">
        <f>LEFT($C$9,6)</f>
        <v>Hrushi</v>
      </c>
      <c r="D10" s="14"/>
      <c r="E10" s="14"/>
      <c r="F10" s="14"/>
      <c r="G10" s="14"/>
    </row>
    <row r="11" spans="1:7" x14ac:dyDescent="0.3">
      <c r="A11" s="14"/>
      <c r="B11" s="14"/>
      <c r="C11" s="14"/>
      <c r="D11" s="14"/>
      <c r="E11" s="14"/>
      <c r="F11" s="14"/>
      <c r="G11" s="14"/>
    </row>
    <row r="12" spans="1:7" x14ac:dyDescent="0.3">
      <c r="A12" s="13" t="s">
        <v>34</v>
      </c>
      <c r="B12" s="5" t="s">
        <v>35</v>
      </c>
      <c r="C12" s="14"/>
      <c r="D12" s="14"/>
      <c r="E12" s="14"/>
      <c r="F12" s="14"/>
      <c r="G12" s="14"/>
    </row>
    <row r="13" spans="1:7" x14ac:dyDescent="0.3">
      <c r="A13" s="14"/>
      <c r="B13" s="13" t="s">
        <v>27</v>
      </c>
      <c r="C13" s="14" t="s">
        <v>28</v>
      </c>
      <c r="D13" s="11" t="s">
        <v>36</v>
      </c>
      <c r="E13" s="14"/>
      <c r="F13" s="14"/>
      <c r="G13" s="14"/>
    </row>
    <row r="14" spans="1:7" x14ac:dyDescent="0.3">
      <c r="A14" s="14"/>
      <c r="B14" s="13" t="s">
        <v>30</v>
      </c>
      <c r="C14" s="18" t="str">
        <f>RIGHT($C$13,9)</f>
        <v>rushikesh</v>
      </c>
      <c r="D14" s="14"/>
      <c r="E14" s="14"/>
      <c r="F14" s="14"/>
      <c r="G14" s="14"/>
    </row>
    <row r="15" spans="1:7" x14ac:dyDescent="0.3">
      <c r="A15" s="14"/>
      <c r="B15" s="14"/>
      <c r="C15" s="14"/>
      <c r="D15" s="14"/>
      <c r="E15" s="14"/>
      <c r="F15" s="14"/>
      <c r="G15" s="14"/>
    </row>
    <row r="16" spans="1:7" x14ac:dyDescent="0.3">
      <c r="A16" s="13" t="s">
        <v>37</v>
      </c>
      <c r="B16" s="5" t="s">
        <v>38</v>
      </c>
      <c r="C16" s="14"/>
      <c r="D16" s="14"/>
      <c r="E16" s="14"/>
      <c r="F16" s="14"/>
      <c r="G16" s="14"/>
    </row>
    <row r="17" spans="1:7" x14ac:dyDescent="0.3">
      <c r="A17" s="14"/>
      <c r="B17" s="13" t="s">
        <v>27</v>
      </c>
      <c r="C17" s="14" t="s">
        <v>39</v>
      </c>
      <c r="D17" s="11" t="s">
        <v>40</v>
      </c>
      <c r="E17" s="14"/>
      <c r="F17" s="14"/>
      <c r="G17" s="14"/>
    </row>
    <row r="18" spans="1:7" x14ac:dyDescent="0.3">
      <c r="A18" s="14"/>
      <c r="B18" s="13" t="s">
        <v>30</v>
      </c>
      <c r="C18" s="18" t="str">
        <f>MID($C$17,12,9)</f>
        <v>Bhausaheb</v>
      </c>
      <c r="D18" s="14"/>
      <c r="E18" s="14"/>
      <c r="F18" s="14"/>
      <c r="G18" s="14"/>
    </row>
    <row r="19" spans="1:7" x14ac:dyDescent="0.3">
      <c r="A19" s="14"/>
      <c r="B19" s="14"/>
      <c r="C19" s="14"/>
      <c r="D19" s="14"/>
      <c r="E19" s="14"/>
      <c r="F19" s="14"/>
      <c r="G19" s="14"/>
    </row>
    <row r="20" spans="1:7" x14ac:dyDescent="0.3">
      <c r="A20" s="13" t="s">
        <v>42</v>
      </c>
      <c r="B20" s="5" t="s">
        <v>43</v>
      </c>
      <c r="C20" s="14"/>
      <c r="D20" s="14"/>
      <c r="E20" s="14"/>
      <c r="F20" s="14"/>
      <c r="G20" s="14"/>
    </row>
    <row r="21" spans="1:7" x14ac:dyDescent="0.3">
      <c r="A21" s="14"/>
      <c r="B21" s="13" t="s">
        <v>27</v>
      </c>
      <c r="C21" s="14" t="s">
        <v>28</v>
      </c>
      <c r="D21" s="14" t="s">
        <v>41</v>
      </c>
      <c r="E21" s="14" t="s">
        <v>44</v>
      </c>
      <c r="F21" s="11" t="s">
        <v>45</v>
      </c>
      <c r="G21" s="14"/>
    </row>
    <row r="22" spans="1:7" x14ac:dyDescent="0.3">
      <c r="A22" s="14"/>
      <c r="B22" s="13" t="s">
        <v>30</v>
      </c>
      <c r="C22" s="18" t="str">
        <f>_xlfn.CONCAT($C$21," ",$D$21," ",$E$21)</f>
        <v>Hrushikesh Bhausaheb Sanap</v>
      </c>
      <c r="D22" s="14"/>
      <c r="E22" s="14"/>
      <c r="F22" s="14"/>
      <c r="G22" s="1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60003C-5B74-43B9-819B-A4D497EB9FE6}">
  <dimension ref="A1:D6"/>
  <sheetViews>
    <sheetView workbookViewId="0">
      <selection activeCell="D10" sqref="D10"/>
    </sheetView>
  </sheetViews>
  <sheetFormatPr defaultRowHeight="14.4" x14ac:dyDescent="0.3"/>
  <cols>
    <col min="1" max="1" width="13.88671875" style="15" customWidth="1"/>
    <col min="2" max="2" width="8.88671875" style="15"/>
    <col min="3" max="3" width="10.33203125" style="15" bestFit="1" customWidth="1"/>
    <col min="4" max="5" width="8.88671875" style="15"/>
    <col min="6" max="6" width="10.33203125" style="15" bestFit="1" customWidth="1"/>
    <col min="7" max="16384" width="8.88671875" style="15"/>
  </cols>
  <sheetData>
    <row r="1" spans="1:4" ht="15" thickBot="1" x14ac:dyDescent="0.35">
      <c r="A1" s="24" t="s">
        <v>0</v>
      </c>
      <c r="B1" s="1" t="s">
        <v>46</v>
      </c>
      <c r="C1" s="25"/>
      <c r="D1" s="25"/>
    </row>
    <row r="3" spans="1:4" x14ac:dyDescent="0.3">
      <c r="A3" s="32" t="s">
        <v>3</v>
      </c>
      <c r="B3" s="15" t="s">
        <v>154</v>
      </c>
    </row>
    <row r="4" spans="1:4" x14ac:dyDescent="0.3">
      <c r="B4" s="15" t="s">
        <v>156</v>
      </c>
    </row>
    <row r="6" spans="1:4" x14ac:dyDescent="0.3">
      <c r="B6" s="33" t="s">
        <v>155</v>
      </c>
      <c r="C6" s="34">
        <f ca="1">TODAY()</f>
        <v>45999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361E1A-BF26-4D5C-AAAD-0E50A583117A}">
  <dimension ref="A1:G36"/>
  <sheetViews>
    <sheetView topLeftCell="A13" workbookViewId="0">
      <selection activeCell="E28" sqref="E28"/>
    </sheetView>
  </sheetViews>
  <sheetFormatPr defaultRowHeight="14.4" x14ac:dyDescent="0.3"/>
  <cols>
    <col min="1" max="1" width="8.88671875" style="15"/>
    <col min="2" max="2" width="15.5546875" style="15" customWidth="1"/>
    <col min="3" max="3" width="8.88671875" style="15"/>
    <col min="4" max="4" width="11.21875" style="15" bestFit="1" customWidth="1"/>
    <col min="5" max="5" width="8.44140625" style="15" bestFit="1" customWidth="1"/>
    <col min="6" max="16384" width="8.88671875" style="15"/>
  </cols>
  <sheetData>
    <row r="1" spans="1:7" x14ac:dyDescent="0.3">
      <c r="A1" s="13" t="s">
        <v>0</v>
      </c>
      <c r="B1" s="5" t="s">
        <v>47</v>
      </c>
      <c r="C1" s="14"/>
      <c r="D1" s="14"/>
      <c r="E1" s="14"/>
      <c r="F1" s="14"/>
      <c r="G1" s="14"/>
    </row>
    <row r="2" spans="1:7" x14ac:dyDescent="0.3">
      <c r="A2" s="16" t="s">
        <v>1</v>
      </c>
      <c r="B2" s="5" t="s">
        <v>48</v>
      </c>
      <c r="C2" s="14"/>
      <c r="D2" s="14"/>
      <c r="E2" s="14"/>
      <c r="F2" s="14"/>
      <c r="G2" s="14"/>
    </row>
    <row r="3" spans="1:7" x14ac:dyDescent="0.3">
      <c r="A3" s="16" t="s">
        <v>6</v>
      </c>
      <c r="B3" s="5" t="s">
        <v>49</v>
      </c>
      <c r="C3" s="14"/>
      <c r="D3" s="14"/>
      <c r="E3" s="14"/>
      <c r="F3" s="14"/>
      <c r="G3" s="14"/>
    </row>
    <row r="4" spans="1:7" x14ac:dyDescent="0.3">
      <c r="A4" s="14"/>
      <c r="B4" s="5" t="s">
        <v>50</v>
      </c>
      <c r="C4" s="14"/>
      <c r="D4" s="14"/>
      <c r="E4" s="14"/>
      <c r="F4" s="14"/>
      <c r="G4" s="14"/>
    </row>
    <row r="5" spans="1:7" x14ac:dyDescent="0.3">
      <c r="A5" s="14"/>
      <c r="B5" s="14"/>
      <c r="C5" s="14"/>
      <c r="D5" s="14"/>
      <c r="E5" s="14"/>
      <c r="F5" s="14"/>
      <c r="G5" s="14"/>
    </row>
    <row r="6" spans="1:7" x14ac:dyDescent="0.3">
      <c r="A6" s="14"/>
      <c r="B6" s="20" t="s">
        <v>51</v>
      </c>
      <c r="C6" s="20" t="s">
        <v>52</v>
      </c>
      <c r="D6" s="20" t="s">
        <v>53</v>
      </c>
      <c r="E6" s="20" t="s">
        <v>54</v>
      </c>
      <c r="F6" s="20" t="s">
        <v>55</v>
      </c>
      <c r="G6" s="14"/>
    </row>
    <row r="7" spans="1:7" x14ac:dyDescent="0.3">
      <c r="A7" s="14"/>
      <c r="B7" s="21" t="s">
        <v>56</v>
      </c>
      <c r="C7" s="21" t="s">
        <v>57</v>
      </c>
      <c r="D7" s="21" t="s">
        <v>58</v>
      </c>
      <c r="E7" s="21"/>
      <c r="F7" s="23">
        <v>81</v>
      </c>
      <c r="G7" s="14"/>
    </row>
    <row r="8" spans="1:7" x14ac:dyDescent="0.3">
      <c r="A8" s="14"/>
      <c r="B8" s="21" t="s">
        <v>59</v>
      </c>
      <c r="C8" s="21" t="s">
        <v>60</v>
      </c>
      <c r="D8" s="21" t="s">
        <v>58</v>
      </c>
      <c r="E8" s="21"/>
      <c r="F8" s="23">
        <v>121</v>
      </c>
      <c r="G8" s="14"/>
    </row>
    <row r="9" spans="1:7" x14ac:dyDescent="0.3">
      <c r="A9" s="14"/>
      <c r="B9" s="21" t="s">
        <v>61</v>
      </c>
      <c r="C9" s="21" t="s">
        <v>62</v>
      </c>
      <c r="D9" s="21" t="s">
        <v>63</v>
      </c>
      <c r="E9" s="21"/>
      <c r="F9" s="23">
        <v>239</v>
      </c>
      <c r="G9" s="14"/>
    </row>
    <row r="10" spans="1:7" x14ac:dyDescent="0.3">
      <c r="A10" s="14"/>
      <c r="B10" s="21" t="s">
        <v>64</v>
      </c>
      <c r="C10" s="21" t="s">
        <v>57</v>
      </c>
      <c r="D10" s="21" t="s">
        <v>58</v>
      </c>
      <c r="E10" s="21"/>
      <c r="F10" s="23">
        <v>500</v>
      </c>
      <c r="G10" s="14"/>
    </row>
    <row r="11" spans="1:7" x14ac:dyDescent="0.3">
      <c r="A11" s="14"/>
      <c r="B11" s="21" t="s">
        <v>65</v>
      </c>
      <c r="C11" s="21" t="s">
        <v>66</v>
      </c>
      <c r="D11" s="21" t="s">
        <v>67</v>
      </c>
      <c r="E11" s="21"/>
      <c r="F11" s="23">
        <v>423</v>
      </c>
      <c r="G11" s="14"/>
    </row>
    <row r="12" spans="1:7" x14ac:dyDescent="0.3">
      <c r="A12" s="14"/>
      <c r="B12" s="21" t="s">
        <v>68</v>
      </c>
      <c r="C12" s="21" t="s">
        <v>69</v>
      </c>
      <c r="D12" s="21" t="s">
        <v>58</v>
      </c>
      <c r="E12" s="21"/>
      <c r="F12" s="23">
        <v>160</v>
      </c>
      <c r="G12" s="14"/>
    </row>
    <row r="13" spans="1:7" x14ac:dyDescent="0.3">
      <c r="A13" s="14"/>
      <c r="B13" s="21" t="s">
        <v>70</v>
      </c>
      <c r="C13" s="21" t="s">
        <v>71</v>
      </c>
      <c r="D13" s="21" t="s">
        <v>58</v>
      </c>
      <c r="E13" s="21"/>
      <c r="F13" s="23">
        <v>348</v>
      </c>
      <c r="G13" s="14"/>
    </row>
    <row r="14" spans="1:7" x14ac:dyDescent="0.3">
      <c r="A14" s="14"/>
      <c r="B14" s="21" t="s">
        <v>72</v>
      </c>
      <c r="C14" s="21" t="s">
        <v>71</v>
      </c>
      <c r="D14" s="21" t="s">
        <v>58</v>
      </c>
      <c r="E14" s="21"/>
      <c r="F14" s="23">
        <v>152</v>
      </c>
      <c r="G14" s="14"/>
    </row>
    <row r="15" spans="1:7" x14ac:dyDescent="0.3">
      <c r="A15" s="14"/>
      <c r="B15" s="21" t="s">
        <v>73</v>
      </c>
      <c r="C15" s="21" t="s">
        <v>74</v>
      </c>
      <c r="D15" s="21" t="s">
        <v>67</v>
      </c>
      <c r="E15" s="21"/>
      <c r="F15" s="23">
        <v>369</v>
      </c>
      <c r="G15" s="14"/>
    </row>
    <row r="17" spans="1:6" x14ac:dyDescent="0.3">
      <c r="A17" s="32" t="s">
        <v>3</v>
      </c>
    </row>
    <row r="18" spans="1:6" x14ac:dyDescent="0.3">
      <c r="A18" s="15" t="s">
        <v>141</v>
      </c>
    </row>
    <row r="19" spans="1:6" x14ac:dyDescent="0.3">
      <c r="A19" s="32" t="s">
        <v>128</v>
      </c>
      <c r="B19" s="15" t="s">
        <v>142</v>
      </c>
    </row>
    <row r="20" spans="1:6" x14ac:dyDescent="0.3">
      <c r="A20" s="33" t="s">
        <v>143</v>
      </c>
      <c r="B20" s="15" t="s">
        <v>144</v>
      </c>
    </row>
    <row r="21" spans="1:6" x14ac:dyDescent="0.3">
      <c r="A21" s="33" t="s">
        <v>131</v>
      </c>
      <c r="B21" s="15" t="s">
        <v>145</v>
      </c>
    </row>
    <row r="22" spans="1:6" x14ac:dyDescent="0.3">
      <c r="A22" s="33" t="s">
        <v>146</v>
      </c>
      <c r="B22" s="15" t="s">
        <v>149</v>
      </c>
    </row>
    <row r="23" spans="1:6" x14ac:dyDescent="0.3">
      <c r="A23" s="33" t="s">
        <v>147</v>
      </c>
      <c r="B23" s="15" t="s">
        <v>148</v>
      </c>
    </row>
    <row r="24" spans="1:6" x14ac:dyDescent="0.3">
      <c r="A24" s="33" t="s">
        <v>151</v>
      </c>
      <c r="B24" s="15" t="s">
        <v>150</v>
      </c>
    </row>
    <row r="25" spans="1:6" x14ac:dyDescent="0.3">
      <c r="A25" s="33" t="s">
        <v>152</v>
      </c>
      <c r="B25" s="15" t="s">
        <v>153</v>
      </c>
    </row>
    <row r="27" spans="1:6" x14ac:dyDescent="0.3">
      <c r="B27" s="20" t="s">
        <v>51</v>
      </c>
      <c r="C27" s="20" t="s">
        <v>52</v>
      </c>
      <c r="D27" s="20" t="s">
        <v>53</v>
      </c>
      <c r="E27" s="27" t="s">
        <v>54</v>
      </c>
      <c r="F27" s="20" t="s">
        <v>55</v>
      </c>
    </row>
    <row r="28" spans="1:6" x14ac:dyDescent="0.3">
      <c r="B28" s="21" t="s">
        <v>56</v>
      </c>
      <c r="C28" s="21" t="s">
        <v>57</v>
      </c>
      <c r="D28" s="21" t="s">
        <v>58</v>
      </c>
      <c r="E28" s="22"/>
      <c r="F28" s="23">
        <v>81</v>
      </c>
    </row>
    <row r="29" spans="1:6" x14ac:dyDescent="0.3">
      <c r="B29" s="21" t="s">
        <v>59</v>
      </c>
      <c r="C29" s="21" t="s">
        <v>60</v>
      </c>
      <c r="D29" s="21" t="s">
        <v>58</v>
      </c>
      <c r="E29" s="22"/>
      <c r="F29" s="23">
        <v>121</v>
      </c>
    </row>
    <row r="30" spans="1:6" x14ac:dyDescent="0.3">
      <c r="B30" s="21" t="s">
        <v>61</v>
      </c>
      <c r="C30" s="21" t="s">
        <v>62</v>
      </c>
      <c r="D30" s="21" t="s">
        <v>63</v>
      </c>
      <c r="E30" s="22"/>
      <c r="F30" s="23">
        <v>239</v>
      </c>
    </row>
    <row r="31" spans="1:6" x14ac:dyDescent="0.3">
      <c r="B31" s="21" t="s">
        <v>64</v>
      </c>
      <c r="C31" s="21" t="s">
        <v>57</v>
      </c>
      <c r="D31" s="21" t="s">
        <v>58</v>
      </c>
      <c r="E31" s="22"/>
      <c r="F31" s="23">
        <v>500</v>
      </c>
    </row>
    <row r="32" spans="1:6" x14ac:dyDescent="0.3">
      <c r="B32" s="21" t="s">
        <v>65</v>
      </c>
      <c r="C32" s="21" t="s">
        <v>66</v>
      </c>
      <c r="D32" s="21" t="s">
        <v>67</v>
      </c>
      <c r="E32" s="22"/>
      <c r="F32" s="23">
        <v>423</v>
      </c>
    </row>
    <row r="33" spans="2:6" x14ac:dyDescent="0.3">
      <c r="B33" s="21" t="s">
        <v>68</v>
      </c>
      <c r="C33" s="21" t="s">
        <v>69</v>
      </c>
      <c r="D33" s="21" t="s">
        <v>58</v>
      </c>
      <c r="E33" s="22"/>
      <c r="F33" s="23">
        <v>160</v>
      </c>
    </row>
    <row r="34" spans="2:6" x14ac:dyDescent="0.3">
      <c r="B34" s="21" t="s">
        <v>70</v>
      </c>
      <c r="C34" s="21" t="s">
        <v>71</v>
      </c>
      <c r="D34" s="21" t="s">
        <v>58</v>
      </c>
      <c r="E34" s="22"/>
      <c r="F34" s="23">
        <v>348</v>
      </c>
    </row>
    <row r="35" spans="2:6" x14ac:dyDescent="0.3">
      <c r="B35" s="21" t="s">
        <v>72</v>
      </c>
      <c r="C35" s="21" t="s">
        <v>71</v>
      </c>
      <c r="D35" s="21" t="s">
        <v>58</v>
      </c>
      <c r="E35" s="22"/>
      <c r="F35" s="23">
        <v>152</v>
      </c>
    </row>
    <row r="36" spans="2:6" x14ac:dyDescent="0.3">
      <c r="B36" s="21" t="s">
        <v>73</v>
      </c>
      <c r="C36" s="21" t="s">
        <v>74</v>
      </c>
      <c r="D36" s="21" t="s">
        <v>67</v>
      </c>
      <c r="E36" s="22"/>
      <c r="F36" s="23">
        <v>369</v>
      </c>
    </row>
  </sheetData>
  <dataValidations count="1">
    <dataValidation type="whole" allowBlank="1" showInputMessage="1" showErrorMessage="1" errorTitle="Invalid Input" error="Invalid input! The quantity must be a whole number between 1 and 10." promptTitle="Quantity Entry" prompt="Please enter a whole number between 1 and 10." sqref="E28:E36" xr:uid="{1FA41FFE-17DB-4A05-A8C4-54055A0F44F5}">
      <formula1>1</formula1>
      <formula2>10</formula2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E16F4D-A8D5-4A00-9307-E5AE75D90990}">
  <dimension ref="A1:E17"/>
  <sheetViews>
    <sheetView workbookViewId="0">
      <selection sqref="A1:XFD1"/>
    </sheetView>
  </sheetViews>
  <sheetFormatPr defaultRowHeight="14.4" x14ac:dyDescent="0.3"/>
  <cols>
    <col min="1" max="1" width="8.88671875" style="6"/>
    <col min="2" max="2" width="13.21875" style="6" customWidth="1"/>
    <col min="3" max="16384" width="8.88671875" style="6"/>
  </cols>
  <sheetData>
    <row r="1" spans="1:5" s="30" customFormat="1" x14ac:dyDescent="0.3">
      <c r="A1" s="13" t="s">
        <v>0</v>
      </c>
      <c r="B1" s="5" t="s">
        <v>75</v>
      </c>
      <c r="C1" s="14"/>
      <c r="D1" s="14"/>
      <c r="E1" s="14"/>
    </row>
    <row r="2" spans="1:5" x14ac:dyDescent="0.3">
      <c r="A2" s="3"/>
      <c r="B2" s="3"/>
      <c r="C2" s="3"/>
      <c r="D2" s="3"/>
      <c r="E2" s="3"/>
    </row>
    <row r="3" spans="1:5" x14ac:dyDescent="0.3">
      <c r="A3" s="7" t="s">
        <v>76</v>
      </c>
      <c r="B3" s="5" t="s">
        <v>77</v>
      </c>
      <c r="C3" s="3"/>
      <c r="D3" s="3"/>
      <c r="E3" s="3"/>
    </row>
    <row r="4" spans="1:5" x14ac:dyDescent="0.3">
      <c r="A4" s="4" t="s">
        <v>3</v>
      </c>
      <c r="B4" s="5" t="s">
        <v>78</v>
      </c>
      <c r="C4" s="3"/>
      <c r="D4" s="10" t="str">
        <f>LEFT($B$4,5)</f>
        <v>Excel</v>
      </c>
      <c r="E4" s="3"/>
    </row>
    <row r="5" spans="1:5" x14ac:dyDescent="0.3">
      <c r="A5" s="3"/>
      <c r="B5" s="3"/>
      <c r="C5" s="3"/>
      <c r="D5" s="3"/>
      <c r="E5" s="3"/>
    </row>
    <row r="6" spans="1:5" x14ac:dyDescent="0.3">
      <c r="A6" s="7" t="s">
        <v>79</v>
      </c>
      <c r="B6" s="5" t="s">
        <v>80</v>
      </c>
      <c r="C6" s="3"/>
      <c r="D6" s="3"/>
      <c r="E6" s="3"/>
    </row>
    <row r="7" spans="1:5" x14ac:dyDescent="0.3">
      <c r="A7" s="4" t="s">
        <v>3</v>
      </c>
      <c r="B7" s="5" t="s">
        <v>81</v>
      </c>
      <c r="C7" s="3"/>
      <c r="D7" s="10" t="str">
        <f>RIGHT($B$7,4)</f>
        <v>xlsx</v>
      </c>
      <c r="E7" s="3"/>
    </row>
    <row r="8" spans="1:5" x14ac:dyDescent="0.3">
      <c r="A8" s="3"/>
      <c r="B8" s="3"/>
      <c r="C8" s="3"/>
      <c r="D8" s="3"/>
      <c r="E8" s="3"/>
    </row>
    <row r="9" spans="1:5" x14ac:dyDescent="0.3">
      <c r="A9" s="7" t="s">
        <v>82</v>
      </c>
      <c r="B9" s="5" t="s">
        <v>83</v>
      </c>
      <c r="C9" s="3"/>
      <c r="D9" s="3"/>
      <c r="E9" s="3"/>
    </row>
    <row r="10" spans="1:5" x14ac:dyDescent="0.3">
      <c r="A10" s="4" t="s">
        <v>3</v>
      </c>
      <c r="B10" s="5" t="s">
        <v>78</v>
      </c>
      <c r="C10" s="3"/>
      <c r="D10" s="10" t="str">
        <f>MID($B$10,6,4)</f>
        <v>Tips</v>
      </c>
      <c r="E10" s="3"/>
    </row>
    <row r="11" spans="1:5" x14ac:dyDescent="0.3">
      <c r="A11" s="3"/>
      <c r="B11" s="3"/>
      <c r="C11" s="3"/>
      <c r="D11" s="3"/>
      <c r="E11" s="3"/>
    </row>
    <row r="12" spans="1:5" x14ac:dyDescent="0.3">
      <c r="A12" s="7" t="s">
        <v>84</v>
      </c>
      <c r="B12" s="5" t="s">
        <v>85</v>
      </c>
      <c r="C12" s="3"/>
      <c r="D12" s="3"/>
      <c r="E12" s="3"/>
    </row>
    <row r="13" spans="1:5" s="30" customFormat="1" x14ac:dyDescent="0.3">
      <c r="A13" s="17" t="s">
        <v>3</v>
      </c>
      <c r="B13" s="14" t="s">
        <v>86</v>
      </c>
      <c r="C13" s="14"/>
      <c r="D13" s="31">
        <f>LEN($B$13)</f>
        <v>12</v>
      </c>
      <c r="E13" s="14"/>
    </row>
    <row r="14" spans="1:5" x14ac:dyDescent="0.3">
      <c r="A14" s="3"/>
      <c r="B14" s="3"/>
      <c r="C14" s="3"/>
      <c r="D14" s="3"/>
      <c r="E14" s="3"/>
    </row>
    <row r="15" spans="1:5" x14ac:dyDescent="0.3">
      <c r="A15" s="7" t="s">
        <v>87</v>
      </c>
      <c r="B15" s="5" t="s">
        <v>88</v>
      </c>
      <c r="C15" s="3"/>
      <c r="D15" s="3"/>
      <c r="E15" s="3"/>
    </row>
    <row r="16" spans="1:5" x14ac:dyDescent="0.3">
      <c r="A16" s="4" t="s">
        <v>3</v>
      </c>
      <c r="B16" s="5" t="s">
        <v>89</v>
      </c>
      <c r="C16" s="3"/>
      <c r="D16" s="10" t="str">
        <f>MID($B$16,7,5)</f>
        <v>67890</v>
      </c>
      <c r="E16" s="3"/>
    </row>
    <row r="17" spans="1:5" x14ac:dyDescent="0.3">
      <c r="A17" s="3"/>
      <c r="B17" s="5" t="s">
        <v>90</v>
      </c>
      <c r="C17" s="3"/>
      <c r="D17" s="3"/>
      <c r="E17" s="3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5136E4-086F-4075-90F8-B92406B84B31}">
  <dimension ref="A1:G26"/>
  <sheetViews>
    <sheetView workbookViewId="0">
      <selection activeCell="E23" sqref="E23"/>
    </sheetView>
  </sheetViews>
  <sheetFormatPr defaultRowHeight="14.4" x14ac:dyDescent="0.3"/>
  <cols>
    <col min="1" max="16384" width="8.88671875" style="15"/>
  </cols>
  <sheetData>
    <row r="1" spans="1:7" x14ac:dyDescent="0.3">
      <c r="A1" s="13" t="s">
        <v>0</v>
      </c>
      <c r="B1" s="5" t="s">
        <v>91</v>
      </c>
      <c r="C1" s="14"/>
      <c r="D1" s="14"/>
      <c r="E1" s="14"/>
      <c r="F1" s="14"/>
      <c r="G1" s="14"/>
    </row>
    <row r="2" spans="1:7" x14ac:dyDescent="0.3">
      <c r="A2" s="14"/>
      <c r="B2" s="14"/>
      <c r="C2" s="14"/>
      <c r="D2" s="14"/>
      <c r="E2" s="14"/>
      <c r="F2" s="14"/>
      <c r="G2" s="14"/>
    </row>
    <row r="3" spans="1:7" x14ac:dyDescent="0.3">
      <c r="A3" s="16" t="s">
        <v>76</v>
      </c>
      <c r="B3" s="5" t="s">
        <v>92</v>
      </c>
      <c r="C3" s="14"/>
      <c r="D3" s="14"/>
      <c r="E3" s="14"/>
      <c r="F3" s="14"/>
      <c r="G3" s="14"/>
    </row>
    <row r="4" spans="1:7" x14ac:dyDescent="0.3">
      <c r="A4" s="17" t="s">
        <v>3</v>
      </c>
      <c r="B4" s="14" t="s">
        <v>93</v>
      </c>
      <c r="C4" s="14" t="s">
        <v>94</v>
      </c>
      <c r="D4" s="14"/>
      <c r="E4" s="14"/>
      <c r="F4" s="18" t="str">
        <f>_xlfn.CONCAT($B$4," ",$C$4)</f>
        <v>Hello World</v>
      </c>
      <c r="G4" s="14"/>
    </row>
    <row r="5" spans="1:7" x14ac:dyDescent="0.3">
      <c r="A5" s="14"/>
      <c r="B5" s="14"/>
      <c r="C5" s="14"/>
      <c r="D5" s="14"/>
      <c r="E5" s="14"/>
      <c r="F5" s="14"/>
      <c r="G5" s="14"/>
    </row>
    <row r="6" spans="1:7" x14ac:dyDescent="0.3">
      <c r="A6" s="16" t="s">
        <v>79</v>
      </c>
      <c r="B6" s="5" t="s">
        <v>95</v>
      </c>
      <c r="C6" s="14"/>
      <c r="D6" s="14"/>
      <c r="E6" s="14"/>
      <c r="F6" s="14"/>
      <c r="G6" s="14"/>
    </row>
    <row r="7" spans="1:7" x14ac:dyDescent="0.3">
      <c r="A7" s="17" t="s">
        <v>3</v>
      </c>
      <c r="B7" s="14" t="s">
        <v>96</v>
      </c>
      <c r="C7" s="14" t="s">
        <v>97</v>
      </c>
      <c r="D7" s="14" t="s">
        <v>98</v>
      </c>
      <c r="E7" s="14"/>
      <c r="F7" s="12" t="str">
        <f>_xlfn.TEXTJOIN(",",TRUE,$B$7,$C$7,$D$7)</f>
        <v>Apple,Banana,Cherry</v>
      </c>
      <c r="G7" s="14"/>
    </row>
    <row r="8" spans="1:7" x14ac:dyDescent="0.3">
      <c r="A8" s="14"/>
      <c r="B8" s="14"/>
      <c r="C8" s="14"/>
      <c r="D8" s="14"/>
      <c r="E8" s="14"/>
      <c r="F8" s="14"/>
      <c r="G8" s="14"/>
    </row>
    <row r="9" spans="1:7" x14ac:dyDescent="0.3">
      <c r="A9" s="16" t="s">
        <v>82</v>
      </c>
      <c r="B9" s="5" t="s">
        <v>99</v>
      </c>
      <c r="C9" s="14"/>
      <c r="D9" s="14"/>
      <c r="E9" s="14"/>
      <c r="F9" s="14"/>
      <c r="G9" s="14"/>
    </row>
    <row r="10" spans="1:7" x14ac:dyDescent="0.3">
      <c r="A10" s="17" t="s">
        <v>3</v>
      </c>
      <c r="B10" s="16">
        <v>2025</v>
      </c>
      <c r="C10" s="19" t="s">
        <v>100</v>
      </c>
      <c r="D10" s="14" t="s">
        <v>101</v>
      </c>
      <c r="E10" s="14"/>
      <c r="F10" s="12" t="str">
        <f>($B$10&amp;$C$10&amp;$D$10)</f>
        <v>2025:Excel Functions</v>
      </c>
      <c r="G10" s="14"/>
    </row>
    <row r="11" spans="1:7" x14ac:dyDescent="0.3">
      <c r="A11" s="14"/>
      <c r="B11" s="14"/>
      <c r="C11" s="14"/>
      <c r="D11" s="14"/>
      <c r="E11" s="14"/>
      <c r="F11" s="14"/>
      <c r="G11" s="14"/>
    </row>
    <row r="12" spans="1:7" x14ac:dyDescent="0.3">
      <c r="A12" s="16" t="s">
        <v>84</v>
      </c>
      <c r="B12" s="5" t="s">
        <v>102</v>
      </c>
      <c r="C12" s="14"/>
      <c r="D12" s="14"/>
      <c r="E12" s="14"/>
      <c r="F12" s="14"/>
      <c r="G12" s="14"/>
    </row>
    <row r="13" spans="1:7" x14ac:dyDescent="0.3">
      <c r="A13" s="17" t="s">
        <v>3</v>
      </c>
      <c r="B13" s="20" t="s">
        <v>103</v>
      </c>
      <c r="C13" s="14"/>
      <c r="D13" s="14"/>
      <c r="E13" s="14"/>
      <c r="F13" s="12" t="str">
        <f>_xlfn.TEXTJOIN(",",TRUE,$B$14,$B$15,$B$16,$B$17,$B$18)</f>
        <v>Shoes,Laptop,Sofa,Table Lamp,Backpack</v>
      </c>
      <c r="G13" s="14"/>
    </row>
    <row r="14" spans="1:7" x14ac:dyDescent="0.3">
      <c r="A14" s="14"/>
      <c r="B14" s="21" t="s">
        <v>57</v>
      </c>
      <c r="C14" s="14"/>
      <c r="D14" s="14"/>
      <c r="E14" s="14"/>
      <c r="F14" s="14"/>
      <c r="G14" s="14"/>
    </row>
    <row r="15" spans="1:7" x14ac:dyDescent="0.3">
      <c r="A15" s="14"/>
      <c r="B15" s="21" t="s">
        <v>60</v>
      </c>
      <c r="C15" s="14"/>
      <c r="D15" s="14"/>
      <c r="E15" s="14"/>
      <c r="F15" s="14"/>
      <c r="G15" s="14"/>
    </row>
    <row r="16" spans="1:7" x14ac:dyDescent="0.3">
      <c r="A16" s="14"/>
      <c r="B16" s="21" t="s">
        <v>62</v>
      </c>
      <c r="C16" s="14"/>
      <c r="D16" s="14"/>
      <c r="E16" s="14"/>
      <c r="F16" s="14"/>
      <c r="G16" s="14"/>
    </row>
    <row r="17" spans="1:7" x14ac:dyDescent="0.3">
      <c r="A17" s="14"/>
      <c r="B17" s="21" t="s">
        <v>66</v>
      </c>
      <c r="C17" s="14"/>
      <c r="D17" s="14"/>
      <c r="E17" s="14"/>
      <c r="F17" s="14"/>
      <c r="G17" s="14"/>
    </row>
    <row r="18" spans="1:7" x14ac:dyDescent="0.3">
      <c r="A18" s="14"/>
      <c r="B18" s="21" t="s">
        <v>69</v>
      </c>
      <c r="C18" s="14"/>
      <c r="D18" s="14"/>
      <c r="E18" s="14"/>
      <c r="F18" s="14"/>
      <c r="G18" s="14"/>
    </row>
    <row r="19" spans="1:7" x14ac:dyDescent="0.3">
      <c r="A19" s="14"/>
      <c r="B19" s="14"/>
      <c r="C19" s="14"/>
      <c r="D19" s="14"/>
      <c r="E19" s="14"/>
      <c r="F19" s="14"/>
      <c r="G19" s="14"/>
    </row>
    <row r="20" spans="1:7" x14ac:dyDescent="0.3">
      <c r="A20" s="16" t="s">
        <v>87</v>
      </c>
      <c r="B20" s="5" t="s">
        <v>104</v>
      </c>
      <c r="C20" s="14"/>
      <c r="D20" s="14"/>
      <c r="E20" s="14"/>
      <c r="F20" s="14"/>
      <c r="G20" s="14"/>
    </row>
    <row r="21" spans="1:7" x14ac:dyDescent="0.3">
      <c r="A21" s="17" t="s">
        <v>3</v>
      </c>
      <c r="B21" s="20" t="s">
        <v>105</v>
      </c>
      <c r="C21" s="20" t="s">
        <v>106</v>
      </c>
      <c r="D21" s="20" t="s">
        <v>107</v>
      </c>
      <c r="E21" s="14"/>
      <c r="F21" s="14"/>
      <c r="G21" s="14"/>
    </row>
    <row r="22" spans="1:7" x14ac:dyDescent="0.3">
      <c r="A22" s="14"/>
      <c r="B22" s="21" t="s">
        <v>108</v>
      </c>
      <c r="C22" s="21" t="s">
        <v>109</v>
      </c>
      <c r="D22" s="22" t="str">
        <f>_xlfn.CONCAT($B22," ",$C22)</f>
        <v>Jane Smith</v>
      </c>
      <c r="E22" s="14"/>
      <c r="F22" s="14"/>
      <c r="G22" s="14"/>
    </row>
    <row r="23" spans="1:7" x14ac:dyDescent="0.3">
      <c r="A23" s="14"/>
      <c r="B23" s="21" t="s">
        <v>110</v>
      </c>
      <c r="C23" s="21" t="s">
        <v>111</v>
      </c>
      <c r="D23" s="22" t="str">
        <f t="shared" ref="D23:D26" si="0">_xlfn.CONCAT($B23," ",$C23)</f>
        <v>Isabella Moore</v>
      </c>
      <c r="E23" s="14"/>
      <c r="F23" s="14"/>
      <c r="G23" s="14"/>
    </row>
    <row r="24" spans="1:7" x14ac:dyDescent="0.3">
      <c r="A24" s="14"/>
      <c r="B24" s="21" t="s">
        <v>112</v>
      </c>
      <c r="C24" s="21" t="s">
        <v>113</v>
      </c>
      <c r="D24" s="22" t="str">
        <f t="shared" si="0"/>
        <v>Daniel Davis</v>
      </c>
      <c r="E24" s="14"/>
      <c r="F24" s="14"/>
      <c r="G24" s="14"/>
    </row>
    <row r="25" spans="1:7" x14ac:dyDescent="0.3">
      <c r="A25" s="14"/>
      <c r="B25" s="21" t="s">
        <v>114</v>
      </c>
      <c r="C25" s="21" t="s">
        <v>111</v>
      </c>
      <c r="D25" s="22" t="str">
        <f t="shared" si="0"/>
        <v>Alex Moore</v>
      </c>
      <c r="E25" s="14"/>
      <c r="F25" s="14"/>
      <c r="G25" s="14"/>
    </row>
    <row r="26" spans="1:7" x14ac:dyDescent="0.3">
      <c r="A26" s="14"/>
      <c r="B26" s="21" t="s">
        <v>115</v>
      </c>
      <c r="C26" s="21" t="s">
        <v>116</v>
      </c>
      <c r="D26" s="22" t="str">
        <f t="shared" si="0"/>
        <v>Michael Johnson</v>
      </c>
      <c r="E26" s="14"/>
      <c r="F26" s="14"/>
      <c r="G26" s="14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E14930-B3F1-4781-801A-C78E1C2AEEA1}">
  <dimension ref="A1:O21"/>
  <sheetViews>
    <sheetView tabSelected="1" workbookViewId="0">
      <selection activeCell="N18" sqref="N18"/>
    </sheetView>
  </sheetViews>
  <sheetFormatPr defaultRowHeight="14.4" x14ac:dyDescent="0.3"/>
  <cols>
    <col min="2" max="2" width="11.6640625" customWidth="1"/>
    <col min="3" max="3" width="19.6640625" customWidth="1"/>
    <col min="14" max="14" width="10.33203125" bestFit="1" customWidth="1"/>
    <col min="15" max="15" width="15.44140625" bestFit="1" customWidth="1"/>
  </cols>
  <sheetData>
    <row r="1" spans="1:15" x14ac:dyDescent="0.3">
      <c r="A1" s="13" t="s">
        <v>0</v>
      </c>
      <c r="B1" s="5" t="s">
        <v>117</v>
      </c>
      <c r="C1" s="14"/>
      <c r="D1" s="14"/>
      <c r="E1" s="14"/>
      <c r="F1" s="14"/>
      <c r="G1" s="14"/>
    </row>
    <row r="2" spans="1:15" x14ac:dyDescent="0.3">
      <c r="A2" s="14"/>
      <c r="B2" s="14"/>
      <c r="C2" s="14"/>
      <c r="D2" s="14"/>
      <c r="E2" s="14"/>
      <c r="F2" s="14"/>
      <c r="G2" s="14"/>
    </row>
    <row r="3" spans="1:15" x14ac:dyDescent="0.3">
      <c r="A3" s="16" t="s">
        <v>76</v>
      </c>
      <c r="B3" s="5" t="s">
        <v>118</v>
      </c>
      <c r="C3" s="14"/>
      <c r="D3" s="14"/>
      <c r="E3" s="14"/>
      <c r="F3" s="14"/>
      <c r="G3" s="14"/>
    </row>
    <row r="4" spans="1:15" x14ac:dyDescent="0.3">
      <c r="A4" s="17" t="s">
        <v>3</v>
      </c>
      <c r="B4" s="14" t="s">
        <v>157</v>
      </c>
      <c r="C4" s="14"/>
      <c r="D4" s="14"/>
      <c r="E4" s="14"/>
      <c r="F4" s="14"/>
      <c r="G4" s="14"/>
    </row>
    <row r="5" spans="1:15" x14ac:dyDescent="0.3">
      <c r="A5" s="14"/>
      <c r="B5" s="14" t="s">
        <v>155</v>
      </c>
      <c r="C5" s="38">
        <f ca="1">TODAY()</f>
        <v>45999</v>
      </c>
      <c r="D5" s="14"/>
      <c r="E5" s="14"/>
      <c r="F5" s="14"/>
      <c r="G5" s="14"/>
    </row>
    <row r="6" spans="1:15" x14ac:dyDescent="0.3">
      <c r="A6" s="14"/>
      <c r="B6" s="14"/>
      <c r="C6" s="35"/>
      <c r="D6" s="14"/>
      <c r="E6" s="14"/>
      <c r="F6" s="14"/>
      <c r="G6" s="14"/>
    </row>
    <row r="7" spans="1:15" x14ac:dyDescent="0.3">
      <c r="A7" s="14"/>
      <c r="B7" s="14" t="s">
        <v>158</v>
      </c>
      <c r="C7" s="35"/>
      <c r="D7" s="14"/>
      <c r="E7" s="14"/>
      <c r="F7" s="14"/>
      <c r="G7" s="14"/>
    </row>
    <row r="8" spans="1:15" x14ac:dyDescent="0.3">
      <c r="A8" s="14"/>
      <c r="B8" s="14" t="s">
        <v>155</v>
      </c>
      <c r="C8" s="39">
        <f ca="1">NOW()</f>
        <v>45999.062143055555</v>
      </c>
      <c r="D8" s="14"/>
      <c r="E8" s="14"/>
      <c r="F8" s="14"/>
      <c r="G8" s="14"/>
    </row>
    <row r="9" spans="1:15" x14ac:dyDescent="0.3">
      <c r="A9" s="14"/>
      <c r="B9" s="14"/>
      <c r="C9" s="35"/>
      <c r="D9" s="14"/>
      <c r="E9" s="14"/>
      <c r="F9" s="14"/>
      <c r="G9" s="14"/>
    </row>
    <row r="10" spans="1:15" x14ac:dyDescent="0.3">
      <c r="A10" s="16" t="s">
        <v>79</v>
      </c>
      <c r="B10" s="5" t="s">
        <v>119</v>
      </c>
      <c r="C10" s="14"/>
      <c r="D10" s="14"/>
      <c r="E10" s="14"/>
      <c r="F10" s="14"/>
      <c r="G10" s="14"/>
    </row>
    <row r="11" spans="1:15" x14ac:dyDescent="0.3">
      <c r="A11" s="17" t="s">
        <v>3</v>
      </c>
      <c r="B11" s="37">
        <v>45818</v>
      </c>
      <c r="C11" s="40">
        <f ca="1">B11-TODAY()</f>
        <v>-181</v>
      </c>
      <c r="D11" s="14"/>
      <c r="E11" s="14"/>
      <c r="F11" s="14"/>
      <c r="G11" s="14"/>
    </row>
    <row r="12" spans="1:15" x14ac:dyDescent="0.3">
      <c r="A12" s="14"/>
      <c r="B12" s="14"/>
      <c r="C12" s="14"/>
      <c r="D12" s="14"/>
      <c r="E12" s="14"/>
      <c r="F12" s="14"/>
      <c r="G12" s="14"/>
    </row>
    <row r="13" spans="1:15" x14ac:dyDescent="0.3">
      <c r="A13" s="16" t="s">
        <v>82</v>
      </c>
      <c r="B13" s="5" t="s">
        <v>120</v>
      </c>
      <c r="C13" s="14"/>
      <c r="D13" s="14"/>
      <c r="E13" s="14"/>
      <c r="F13" s="14"/>
      <c r="G13" s="14"/>
    </row>
    <row r="14" spans="1:15" x14ac:dyDescent="0.3">
      <c r="A14" s="17" t="s">
        <v>3</v>
      </c>
      <c r="B14" s="14"/>
      <c r="C14" s="41" t="str">
        <f ca="1">TEXT(NOW(),"MM/DD/YYYY HH:MM AM/PM")</f>
        <v>12/08/2025 01:29 AM</v>
      </c>
      <c r="D14" s="14"/>
      <c r="E14" s="14"/>
      <c r="F14" s="14"/>
      <c r="G14" s="14"/>
      <c r="O14" s="36"/>
    </row>
    <row r="15" spans="1:15" x14ac:dyDescent="0.3">
      <c r="A15" s="14"/>
      <c r="B15" s="14"/>
      <c r="C15" s="14"/>
      <c r="D15" s="14"/>
      <c r="E15" s="14"/>
      <c r="F15" s="14"/>
      <c r="G15" s="14"/>
    </row>
    <row r="16" spans="1:15" x14ac:dyDescent="0.3">
      <c r="A16" s="16" t="s">
        <v>84</v>
      </c>
      <c r="B16" s="5" t="s">
        <v>121</v>
      </c>
      <c r="C16" s="14"/>
      <c r="D16" s="14"/>
      <c r="E16" s="14"/>
      <c r="F16" s="14"/>
      <c r="G16" s="14"/>
    </row>
    <row r="17" spans="1:7" x14ac:dyDescent="0.3">
      <c r="A17" s="17" t="s">
        <v>3</v>
      </c>
      <c r="B17" s="14" t="s">
        <v>159</v>
      </c>
      <c r="C17" s="14"/>
      <c r="D17" s="14"/>
      <c r="E17" s="14"/>
      <c r="F17" s="14"/>
      <c r="G17" s="14"/>
    </row>
    <row r="18" spans="1:7" x14ac:dyDescent="0.3">
      <c r="A18" s="14"/>
      <c r="B18" s="14"/>
      <c r="C18" s="14"/>
      <c r="D18" s="14"/>
      <c r="E18" s="14"/>
      <c r="F18" s="14"/>
      <c r="G18" s="14"/>
    </row>
    <row r="19" spans="1:7" x14ac:dyDescent="0.3">
      <c r="A19" s="16" t="s">
        <v>87</v>
      </c>
      <c r="B19" s="5" t="s">
        <v>122</v>
      </c>
      <c r="C19" s="14"/>
      <c r="D19" s="14"/>
      <c r="E19" s="14"/>
      <c r="F19" s="14"/>
      <c r="G19" s="14"/>
    </row>
    <row r="20" spans="1:7" x14ac:dyDescent="0.3">
      <c r="A20" s="17" t="s">
        <v>3</v>
      </c>
      <c r="B20" s="14" t="s">
        <v>160</v>
      </c>
      <c r="C20" s="35"/>
      <c r="D20" s="14"/>
      <c r="E20" s="14"/>
      <c r="F20" s="14"/>
      <c r="G20" s="14"/>
    </row>
    <row r="21" spans="1:7" x14ac:dyDescent="0.3">
      <c r="A21" s="14"/>
      <c r="B21" s="14" t="s">
        <v>155</v>
      </c>
      <c r="C21" s="38">
        <v>45999</v>
      </c>
      <c r="D21" s="14"/>
      <c r="E21" s="14"/>
      <c r="F21" s="14"/>
      <c r="G21" s="1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Q1</vt:lpstr>
      <vt:lpstr>Q2</vt:lpstr>
      <vt:lpstr>Q3</vt:lpstr>
      <vt:lpstr>Q4</vt:lpstr>
      <vt:lpstr>Q5</vt:lpstr>
      <vt:lpstr>Q6</vt:lpstr>
      <vt:lpstr>Q7</vt:lpstr>
      <vt:lpstr>Q8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Shirodkar</dc:creator>
  <cp:lastModifiedBy>Abhishek Shirodkar</cp:lastModifiedBy>
  <dcterms:created xsi:type="dcterms:W3CDTF">2025-12-07T16:05:16Z</dcterms:created>
  <dcterms:modified xsi:type="dcterms:W3CDTF">2025-12-07T20:01:17Z</dcterms:modified>
</cp:coreProperties>
</file>