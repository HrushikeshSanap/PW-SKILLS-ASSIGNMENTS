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Q1" sheetId="2" r:id="rId5"/>
    <sheet state="visible" name="Q2" sheetId="3" r:id="rId6"/>
    <sheet state="visible" name="Q3" sheetId="4" r:id="rId7"/>
    <sheet state="visible" name="Q4" sheetId="5" r:id="rId8"/>
    <sheet state="visible" name="Q5" sheetId="6" r:id="rId9"/>
    <sheet state="visible" name="Q6" sheetId="7" r:id="rId10"/>
    <sheet state="visible" name="Q7" sheetId="8" r:id="rId11"/>
    <sheet state="visible" name="Q8" sheetId="9" r:id="rId12"/>
  </sheets>
  <definedNames>
    <definedName hidden="1" localSheetId="0" name="_xlnm._FilterDatabase">Dataset!$A$1:$Y$51</definedName>
  </definedNames>
  <calcPr/>
</workbook>
</file>

<file path=xl/sharedStrings.xml><?xml version="1.0" encoding="utf-8"?>
<sst xmlns="http://schemas.openxmlformats.org/spreadsheetml/2006/main" count="902" uniqueCount="145">
  <si>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</si>
  <si>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</si>
  <si>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</si>
  <si>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</si>
  <si>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</si>
  <si>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</si>
  <si>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</si>
  <si>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</si>
  <si>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</si>
  <si>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</si>
  <si>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</si>
  <si>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</si>
  <si>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</si>
  <si>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</si>
  <si>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</si>
  <si>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</si>
  <si>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</si>
  <si>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</si>
  <si>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</si>
  <si>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</si>
  <si>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</si>
  <si>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</si>
  <si>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</si>
  <si>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</si>
  <si>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</si>
  <si>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</si>
  <si>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</si>
  <si>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</si>
  <si>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</si>
  <si>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</si>
  <si>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</si>
  <si>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</si>
  <si>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</si>
  <si>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</si>
  <si>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</si>
  <si>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</si>
  <si>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</si>
  <si>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</si>
  <si>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</si>
  <si>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</si>
  <si>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</si>
  <si>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</si>
  <si>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</si>
  <si>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</si>
  <si>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</si>
  <si>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</si>
  <si>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</si>
  <si>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</si>
  <si>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</si>
  <si>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</si>
  <si>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</si>
  <si>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</si>
  <si>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</si>
  <si>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</si>
  <si>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</si>
  <si>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</si>
  <si>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</si>
  <si>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</si>
  <si>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</si>
  <si>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</si>
  <si>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</si>
  <si>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</si>
  <si>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</si>
  <si>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</si>
  <si>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</si>
  <si>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</si>
  <si>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</si>
  <si>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</si>
  <si>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</si>
  <si>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</si>
  <si>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</si>
  <si>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</si>
  <si>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</si>
  <si>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</si>
  <si>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</si>
  <si>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</si>
  <si>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</si>
  <si>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</si>
  <si>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</si>
  <si>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</si>
  <si>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</si>
  <si>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</si>
  <si>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</si>
  <si>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</si>
  <si>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</si>
  <si>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</si>
  <si>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</si>
  <si>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</si>
  <si>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</si>
  <si>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</si>
  <si>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</si>
  <si>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</si>
  <si>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r>
      <rPr>
        <rFont val="Arial,sans-serif"/>
        <b/>
        <color rgb="FF000000"/>
      </rPr>
      <t>Question:-</t>
    </r>
    <r>
      <rPr>
        <rFont val="Arial,sans-serif"/>
        <b val="0"/>
        <color rgb="FF000000"/>
      </rPr>
      <t xml:space="preserve"> Explain the difference between Relative , Absolute and Mixed Cell Referencing?</t>
    </r>
  </si>
  <si>
    <t>Answer:-</t>
  </si>
  <si>
    <t>A)Relative cell referencing:-</t>
  </si>
  <si>
    <t xml:space="preserve"> In relative cell referencing when formula has been copied from one cell to another cell, the cell reference changed/adjusted to relative position of another cell.</t>
  </si>
  <si>
    <r>
      <rPr>
        <rFont val="Arial"/>
        <b/>
        <color theme="1"/>
      </rPr>
      <t xml:space="preserve"> For e.g</t>
    </r>
    <r>
      <rPr>
        <rFont val="Arial"/>
        <color theme="1"/>
      </rPr>
      <t xml:space="preserve"> In cell</t>
    </r>
    <r>
      <rPr>
        <rFont val="Arial"/>
        <b/>
        <color theme="1"/>
      </rPr>
      <t xml:space="preserve"> A1 </t>
    </r>
    <r>
      <rPr>
        <rFont val="Arial"/>
        <color theme="1"/>
      </rPr>
      <t xml:space="preserve">there is formula </t>
    </r>
    <r>
      <rPr>
        <rFont val="Arial"/>
        <b/>
        <color theme="1"/>
      </rPr>
      <t>=B1+5</t>
    </r>
    <r>
      <rPr>
        <rFont val="Arial"/>
        <color theme="1"/>
      </rPr>
      <t>, when we copy this formula to</t>
    </r>
    <r>
      <rPr>
        <rFont val="Arial"/>
        <b/>
        <color theme="1"/>
      </rPr>
      <t xml:space="preserve"> A2 </t>
    </r>
    <r>
      <rPr>
        <rFont val="Arial"/>
        <color theme="1"/>
      </rPr>
      <t xml:space="preserve">it will get changed to </t>
    </r>
    <r>
      <rPr>
        <rFont val="Arial"/>
        <b/>
        <color theme="1"/>
      </rPr>
      <t>=B2+5</t>
    </r>
    <r>
      <rPr>
        <rFont val="Arial"/>
        <color theme="1"/>
      </rPr>
      <t>.</t>
    </r>
  </si>
  <si>
    <t>B)Absolute cell referencing:-</t>
  </si>
  <si>
    <t>In absolute cell referencing we fix/constant the cell by using dollar sign ($)/ Function+F4 keys, this we usually apply when we want to keep the value of any cell constant, across the formula when we copy it from once cell to another cell.</t>
  </si>
  <si>
    <r>
      <rPr>
        <rFont val="Arial,sans-serif"/>
        <b/>
        <color rgb="FF000000"/>
      </rPr>
      <t xml:space="preserve">For e.g:- </t>
    </r>
    <r>
      <rPr>
        <rFont val="Arial,sans-serif"/>
        <b val="0"/>
        <color rgb="FF000000"/>
      </rPr>
      <t>In Cell</t>
    </r>
    <r>
      <rPr>
        <rFont val="Arial,sans-serif"/>
        <b/>
        <color rgb="FF000000"/>
      </rPr>
      <t xml:space="preserve"> A1 </t>
    </r>
    <r>
      <rPr>
        <rFont val="Arial,sans-serif"/>
        <b val="0"/>
        <color rgb="FF000000"/>
      </rPr>
      <t xml:space="preserve">there is formula </t>
    </r>
    <r>
      <rPr>
        <rFont val="Arial,sans-serif"/>
        <b/>
        <color rgb="FF000000"/>
      </rPr>
      <t xml:space="preserve">=( $B$5+C1), </t>
    </r>
    <r>
      <rPr>
        <rFont val="Arial,sans-serif"/>
        <b val="0"/>
        <color rgb="FF000000"/>
      </rPr>
      <t>when we copy this formula to</t>
    </r>
    <r>
      <rPr>
        <rFont val="Arial,sans-serif"/>
        <b/>
        <color rgb="FF000000"/>
      </rPr>
      <t xml:space="preserve"> A2 </t>
    </r>
    <r>
      <rPr>
        <rFont val="Arial,sans-serif"/>
        <b val="0"/>
        <color rgb="FF000000"/>
      </rPr>
      <t>it will remain same as</t>
    </r>
    <r>
      <rPr>
        <rFont val="Arial,sans-serif"/>
        <b/>
        <color rgb="FF000000"/>
      </rPr>
      <t xml:space="preserve">  =( $B$5+C1)</t>
    </r>
  </si>
  <si>
    <t>C)Mixed Cell Referencing:-</t>
  </si>
  <si>
    <t>In Mixed cell referencing we fix either Column or else Row of any particular cell using dollar $ sign, which remains constant when we copy formula from one cell to another cell.</t>
  </si>
  <si>
    <t xml:space="preserve">For e.g:- </t>
  </si>
  <si>
    <r>
      <rPr>
        <rFont val="Arial,sans-serif"/>
        <b/>
        <color rgb="FF000000"/>
      </rPr>
      <t>Column Fixing:-$A1</t>
    </r>
    <r>
      <rPr>
        <rFont val="Arial,sans-serif"/>
        <color rgb="FF000000"/>
      </rPr>
      <t xml:space="preserve">-Column A Fixed </t>
    </r>
  </si>
  <si>
    <r>
      <rPr>
        <rFont val="Arial"/>
        <b/>
        <color theme="1"/>
      </rPr>
      <t>Row Fixing:- A$1</t>
    </r>
    <r>
      <rPr>
        <rFont val="Arial"/>
        <color theme="1"/>
      </rPr>
      <t>- Row 1 Fixed.</t>
    </r>
  </si>
  <si>
    <t>Dataset :-</t>
  </si>
  <si>
    <t>Vehicle</t>
  </si>
  <si>
    <t>Price</t>
  </si>
  <si>
    <t>Car</t>
  </si>
  <si>
    <t>Bicycle</t>
  </si>
  <si>
    <t>Auto-Rickshaw</t>
  </si>
  <si>
    <r>
      <rPr>
        <rFont val="Arial"/>
        <b/>
        <color theme="1"/>
      </rPr>
      <t>Question:-</t>
    </r>
    <r>
      <rPr>
        <rFont val="Arial"/>
        <b val="0"/>
        <color theme="1"/>
      </rPr>
      <t>Write a formula to calculate the total sales of Car and Bicyle only?</t>
    </r>
  </si>
  <si>
    <r>
      <rPr>
        <rFont val="Arial"/>
        <b/>
        <color theme="1"/>
      </rPr>
      <t>Answer:</t>
    </r>
    <r>
      <rPr>
        <rFont val="Arial"/>
        <color theme="1"/>
      </rPr>
      <t>- First of all the sales data is not given in above dataset, thats why we cannot calculate.</t>
    </r>
  </si>
  <si>
    <r>
      <rPr>
        <rFont val="Arial"/>
        <color theme="1"/>
      </rPr>
      <t>But if you are considering Price as Sales value we can calculate as follow:-We have to use "</t>
    </r>
    <r>
      <rPr>
        <rFont val="Arial"/>
        <b/>
        <color theme="1"/>
      </rPr>
      <t>=SUM</t>
    </r>
    <r>
      <rPr>
        <rFont val="Arial"/>
        <color theme="1"/>
      </rPr>
      <t>". Below is formula applied (You can see formula applied in function tab)</t>
    </r>
  </si>
  <si>
    <t>DATASET</t>
  </si>
  <si>
    <t>Item</t>
  </si>
  <si>
    <t>Sales</t>
  </si>
  <si>
    <t>Item A</t>
  </si>
  <si>
    <t>Item B</t>
  </si>
  <si>
    <t>Item C</t>
  </si>
  <si>
    <r>
      <rPr>
        <rFont val="Arial"/>
        <b/>
        <color theme="1"/>
      </rPr>
      <t>Question:-</t>
    </r>
    <r>
      <rPr>
        <rFont val="Arial"/>
        <b val="0"/>
        <color theme="1"/>
      </rPr>
      <t>Using the data below, write a formula to calculate the average sales of items priced above 100 but less than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300:</t>
    </r>
  </si>
  <si>
    <r>
      <rPr>
        <rFont val="Arial"/>
        <b/>
        <color theme="1"/>
      </rPr>
      <t>Answer:</t>
    </r>
    <r>
      <rPr>
        <rFont val="Arial"/>
        <color theme="1"/>
      </rPr>
      <t>- We will use "</t>
    </r>
    <r>
      <rPr>
        <rFont val="Arial"/>
        <b/>
        <color theme="1"/>
      </rPr>
      <t xml:space="preserve">=AVERGAEIFS" </t>
    </r>
    <r>
      <rPr>
        <rFont val="Arial"/>
        <color theme="1"/>
      </rPr>
      <t xml:space="preserve"> as we have more than one condition given in question.Below is formula applied (You can see formula applied in function tab)</t>
    </r>
  </si>
  <si>
    <r>
      <rPr>
        <rFont val="Arial"/>
        <b/>
        <color theme="1"/>
      </rPr>
      <t>Question:</t>
    </r>
    <r>
      <rPr>
        <rFont val="Arial"/>
        <color theme="1"/>
      </rPr>
      <t>-Count how many customer names are recorded.</t>
    </r>
  </si>
  <si>
    <r>
      <rPr>
        <rFont val="Arial"/>
        <b/>
        <color theme="1"/>
      </rPr>
      <t>Answer:-</t>
    </r>
    <r>
      <rPr>
        <rFont val="Arial"/>
        <color theme="1"/>
      </rPr>
      <t xml:space="preserve"> As the Customer Names is not an Numerical values we have to use </t>
    </r>
    <r>
      <rPr>
        <rFont val="Arial"/>
        <b/>
        <color theme="1"/>
      </rPr>
      <t>"=COUNTA"</t>
    </r>
    <r>
      <rPr>
        <rFont val="Arial"/>
        <color theme="1"/>
      </rPr>
      <t xml:space="preserve"> to calculate customer name recorded.Below is formula applied (You can see formula applied in function tab)</t>
    </r>
  </si>
  <si>
    <r>
      <rPr>
        <rFont val="Arial"/>
        <b/>
        <color theme="1"/>
      </rPr>
      <t>Question:-</t>
    </r>
    <r>
      <rPr>
        <rFont val="Arial"/>
        <color theme="1"/>
      </rPr>
      <t>Calculate the Total Sales for each row using a formula.</t>
    </r>
  </si>
  <si>
    <t>Note:-</t>
  </si>
  <si>
    <r>
      <rPr>
        <rFont val="Arial"/>
        <color theme="1"/>
      </rPr>
      <t xml:space="preserve">There is 2 meanings of above question </t>
    </r>
    <r>
      <rPr>
        <rFont val="Arial"/>
        <b/>
        <color theme="1"/>
      </rPr>
      <t>Total sales for</t>
    </r>
    <r>
      <rPr>
        <rFont val="Arial"/>
        <color theme="1"/>
      </rPr>
      <t xml:space="preserve"> </t>
    </r>
    <r>
      <rPr>
        <rFont val="Arial"/>
        <b/>
        <color theme="1"/>
      </rPr>
      <t>EACH ROW</t>
    </r>
    <r>
      <rPr>
        <rFont val="Arial"/>
        <color theme="1"/>
      </rPr>
      <t xml:space="preserve"> or else </t>
    </r>
    <r>
      <rPr>
        <rFont val="Arial"/>
        <b/>
        <color theme="1"/>
      </rPr>
      <t>Total sales USING EACH ROW, i have solved both please check.</t>
    </r>
  </si>
  <si>
    <r>
      <rPr>
        <rFont val="Arial"/>
        <color theme="1"/>
      </rPr>
      <t xml:space="preserve">If we want total sales </t>
    </r>
    <r>
      <rPr>
        <rFont val="Arial"/>
        <b/>
        <color theme="1"/>
      </rPr>
      <t>using</t>
    </r>
    <r>
      <rPr>
        <rFont val="Arial"/>
        <color theme="1"/>
      </rPr>
      <t xml:space="preserve"> </t>
    </r>
    <r>
      <rPr>
        <rFont val="Arial"/>
        <b/>
        <color theme="1"/>
      </rPr>
      <t>every row by</t>
    </r>
    <r>
      <rPr>
        <rFont val="Arial"/>
        <color theme="1"/>
      </rPr>
      <t xml:space="preserve"> "</t>
    </r>
    <r>
      <rPr>
        <rFont val="Arial"/>
        <b/>
        <color theme="1"/>
      </rPr>
      <t>=SUMPRODUCT"</t>
    </r>
    <r>
      <rPr>
        <rFont val="Arial"/>
        <color theme="1"/>
      </rPr>
      <t>, below is formula and answer.</t>
    </r>
  </si>
  <si>
    <r>
      <rPr>
        <rFont val="Arial"/>
        <color theme="1"/>
      </rPr>
      <t xml:space="preserve">If we want total sales for each row we can simply </t>
    </r>
    <r>
      <rPr>
        <rFont val="Arial"/>
        <b/>
        <color theme="1"/>
      </rPr>
      <t>"Multiply Quantity saled with per unit price"(Column H)</t>
    </r>
    <r>
      <rPr>
        <rFont val="Arial"/>
        <color theme="1"/>
      </rPr>
      <t>, or else we can use</t>
    </r>
    <r>
      <rPr>
        <rFont val="Arial"/>
        <b/>
        <color theme="1"/>
      </rPr>
      <t xml:space="preserve"> "=SUMPRODUCT" (Column I)</t>
    </r>
    <r>
      <rPr>
        <rFont val="Arial"/>
        <color theme="1"/>
      </rPr>
      <t xml:space="preserve"> as well.</t>
    </r>
  </si>
  <si>
    <t>Total sales for each row(Multiplication)</t>
  </si>
  <si>
    <t>Total sales for each row(SUMPRODUCT)</t>
  </si>
  <si>
    <r>
      <rPr>
        <rFont val="Arial"/>
        <b/>
        <color theme="1"/>
      </rPr>
      <t>Question:-</t>
    </r>
    <r>
      <rPr>
        <rFont val="Arial"/>
        <color theme="1"/>
      </rPr>
      <t xml:space="preserve"> Calculate the total sales of Notebooks in the North region only.</t>
    </r>
  </si>
  <si>
    <r>
      <rPr>
        <rFont val="Calibri"/>
        <b/>
        <color theme="1"/>
        <sz val="11.0"/>
      </rPr>
      <t xml:space="preserve">Answer:- </t>
    </r>
    <r>
      <rPr>
        <rFont val="Calibri"/>
        <b val="0"/>
        <color theme="1"/>
        <sz val="11.0"/>
      </rPr>
      <t xml:space="preserve">In order to calculate total sales of Notebook in North region only, </t>
    </r>
  </si>
  <si>
    <r>
      <rPr>
        <rFont val="Calibri"/>
        <b/>
        <color theme="1"/>
        <sz val="11.0"/>
      </rPr>
      <t xml:space="preserve">Step1:- </t>
    </r>
    <r>
      <rPr>
        <rFont val="Calibri"/>
        <b val="0"/>
        <color theme="1"/>
        <sz val="11.0"/>
      </rPr>
      <t>I will calculate Total sales first by</t>
    </r>
    <r>
      <rPr>
        <rFont val="Calibri"/>
        <b/>
        <color theme="1"/>
        <sz val="11.0"/>
      </rPr>
      <t xml:space="preserve"> Multiplication (Column E)</t>
    </r>
  </si>
  <si>
    <r>
      <rPr>
        <rFont val="Calibri"/>
        <b/>
        <color theme="1"/>
        <sz val="11.0"/>
      </rPr>
      <t>Step2:-</t>
    </r>
    <r>
      <rPr>
        <rFont val="Calibri"/>
        <b val="0"/>
        <color theme="1"/>
        <sz val="11.0"/>
      </rPr>
      <t xml:space="preserve">Then i will use </t>
    </r>
    <r>
      <rPr>
        <rFont val="Calibri"/>
        <b/>
        <color theme="1"/>
        <sz val="11.0"/>
      </rPr>
      <t>"=SUMIFS"</t>
    </r>
    <r>
      <rPr>
        <rFont val="Calibri"/>
        <b val="0"/>
        <color theme="1"/>
        <sz val="11.0"/>
      </rPr>
      <t xml:space="preserve"> to calculate total sales of Notebooks in North region, as we have 2 conditions(Notebooks,North) here. Forumla has been applied </t>
    </r>
    <r>
      <rPr>
        <rFont val="Calibri"/>
        <b/>
        <color theme="1"/>
        <sz val="11.0"/>
      </rPr>
      <t>Cell G:8 and Cell H:8</t>
    </r>
  </si>
  <si>
    <t>Total Sales</t>
  </si>
  <si>
    <t>Total sales of Notebook in North Region</t>
  </si>
  <si>
    <t>Question:-</t>
  </si>
  <si>
    <t>Create a column chart showing total sales by product.</t>
  </si>
  <si>
    <t>Step1:-First i will calculate Total sales by each row using multiplication(Column G)</t>
  </si>
  <si>
    <t>Step2:- I will caluculate Total sales for each product using SUMIF (Column J,K)</t>
  </si>
  <si>
    <t>Step3:- i will create column chart using column J and K</t>
  </si>
  <si>
    <t>Total sales</t>
  </si>
  <si>
    <r>
      <rPr>
        <rFont val="Arial"/>
        <b/>
        <color theme="1"/>
      </rPr>
      <t>Question:-</t>
    </r>
    <r>
      <rPr>
        <rFont val="Arial"/>
        <color theme="1"/>
      </rPr>
      <t xml:space="preserve"> Insert a line chart showing daily sales trend.</t>
    </r>
  </si>
  <si>
    <t>Step2:-Then  i will create column chart using column G and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</si>
</sst>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4" numFmtId="0" xfId="0" applyFont="1"/>
    <xf borderId="0" fillId="2" fontId="4" numFmtId="0" xfId="0" applyFill="1" applyFont="1"/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vertical="bottom"/>
    </xf>
    <xf borderId="1" fillId="2" fontId="4" numFmtId="0" xfId="0" applyAlignment="1" applyBorder="1" applyFont="1">
      <alignment readingOrder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5" numFmtId="0" xfId="0" applyBorder="1" applyFont="1"/>
    <xf borderId="0" fillId="0" fontId="1" numFmtId="0" xfId="0" applyAlignment="1" applyFont="1">
      <alignment readingOrder="0" vertical="bottom"/>
    </xf>
    <xf borderId="0" fillId="0" fontId="5" numFmtId="0" xfId="0" applyFont="1"/>
    <xf borderId="1" fillId="2" fontId="5" numFmtId="0" xfId="0" applyBorder="1" applyFont="1"/>
    <xf borderId="1" fillId="0" fontId="1" numFmtId="0" xfId="0" applyAlignment="1" applyBorder="1" applyFont="1">
      <alignment readingOrder="0" vertical="bottom"/>
    </xf>
    <xf borderId="1" fillId="0" fontId="2" numFmtId="4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'Q7'!$J$9:$J$13</c:f>
            </c:strRef>
          </c:cat>
          <c:val>
            <c:numRef>
              <c:f>'Q7'!$K$9:$K$13</c:f>
              <c:numCache/>
            </c:numRef>
          </c:val>
        </c:ser>
        <c:axId val="695282255"/>
        <c:axId val="71637269"/>
      </c:barChart>
      <c:catAx>
        <c:axId val="695282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37269"/>
      </c:catAx>
      <c:valAx>
        <c:axId val="71637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282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'Q8'!$H$8:$H$57</c:f>
            </c:strRef>
          </c:cat>
          <c:val>
            <c:numRef>
              <c:f>'Q8'!$G$8:$G$57</c:f>
              <c:numCache/>
            </c:numRef>
          </c:val>
          <c:smooth val="0"/>
        </c:ser>
        <c:axId val="1453595068"/>
        <c:axId val="1289075968"/>
      </c:lineChart>
      <c:catAx>
        <c:axId val="1453595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075968"/>
      </c:catAx>
      <c:valAx>
        <c:axId val="1289075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595068"/>
      </c:valAx>
    </c:plotArea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13</xdr:row>
      <xdr:rowOff>19050</xdr:rowOff>
    </xdr:from>
    <xdr:ext cx="4057650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6</xdr:row>
      <xdr:rowOff>104775</xdr:rowOff>
    </xdr:from>
    <xdr:ext cx="9705975" cy="4162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1001.0</v>
      </c>
      <c r="B2" s="3" t="s">
        <v>7</v>
      </c>
      <c r="C2" s="3" t="s">
        <v>8</v>
      </c>
      <c r="D2" s="3" t="s">
        <v>9</v>
      </c>
      <c r="E2" s="2">
        <v>10.0</v>
      </c>
      <c r="F2" s="2">
        <v>50.0</v>
      </c>
      <c r="G2" s="4">
        <v>45413.0</v>
      </c>
    </row>
    <row r="3">
      <c r="A3" s="2">
        <v>1002.0</v>
      </c>
      <c r="B3" s="3" t="s">
        <v>10</v>
      </c>
      <c r="C3" s="3" t="s">
        <v>11</v>
      </c>
      <c r="D3" s="3" t="s">
        <v>12</v>
      </c>
      <c r="E3" s="2">
        <v>20.0</v>
      </c>
      <c r="F3" s="2">
        <v>10.0</v>
      </c>
      <c r="G3" s="4">
        <v>45444.0</v>
      </c>
    </row>
    <row r="4">
      <c r="A4" s="2">
        <v>1003.0</v>
      </c>
      <c r="B4" s="3" t="s">
        <v>13</v>
      </c>
      <c r="C4" s="3" t="s">
        <v>14</v>
      </c>
      <c r="D4" s="3" t="s">
        <v>15</v>
      </c>
      <c r="E4" s="2">
        <v>15.0</v>
      </c>
      <c r="F4" s="2">
        <v>25.0</v>
      </c>
      <c r="G4" s="4">
        <v>45474.0</v>
      </c>
    </row>
    <row r="5">
      <c r="A5" s="2">
        <v>1004.0</v>
      </c>
      <c r="B5" s="3" t="s">
        <v>16</v>
      </c>
      <c r="C5" s="3" t="s">
        <v>17</v>
      </c>
      <c r="D5" s="3" t="s">
        <v>9</v>
      </c>
      <c r="E5" s="2">
        <v>5.0</v>
      </c>
      <c r="F5" s="2">
        <v>50.0</v>
      </c>
      <c r="G5" s="4">
        <v>45505.0</v>
      </c>
    </row>
    <row r="6">
      <c r="A6" s="2">
        <v>1005.0</v>
      </c>
      <c r="B6" s="3" t="s">
        <v>18</v>
      </c>
      <c r="C6" s="3" t="s">
        <v>8</v>
      </c>
      <c r="D6" s="3" t="s">
        <v>19</v>
      </c>
      <c r="E6" s="2">
        <v>30.0</v>
      </c>
      <c r="F6" s="2">
        <v>5.0</v>
      </c>
      <c r="G6" s="4">
        <v>45566.0</v>
      </c>
    </row>
    <row r="7">
      <c r="A7" s="2">
        <v>1006.0</v>
      </c>
      <c r="B7" s="3" t="s">
        <v>20</v>
      </c>
      <c r="C7" s="3" t="s">
        <v>11</v>
      </c>
      <c r="D7" s="3" t="s">
        <v>9</v>
      </c>
      <c r="E7" s="2">
        <v>12.0</v>
      </c>
      <c r="F7" s="2">
        <v>50.0</v>
      </c>
      <c r="G7" s="4">
        <v>45597.0</v>
      </c>
    </row>
    <row r="8">
      <c r="A8" s="2">
        <v>1007.0</v>
      </c>
      <c r="B8" s="3" t="s">
        <v>21</v>
      </c>
      <c r="C8" s="3" t="s">
        <v>14</v>
      </c>
      <c r="D8" s="3" t="s">
        <v>22</v>
      </c>
      <c r="E8" s="2">
        <v>25.0</v>
      </c>
      <c r="F8" s="2">
        <v>8.0</v>
      </c>
      <c r="G8" s="2" t="s">
        <v>23</v>
      </c>
    </row>
    <row r="9">
      <c r="A9" s="2">
        <v>1008.0</v>
      </c>
      <c r="B9" s="3" t="s">
        <v>24</v>
      </c>
      <c r="C9" s="3" t="s">
        <v>17</v>
      </c>
      <c r="D9" s="3" t="s">
        <v>12</v>
      </c>
      <c r="E9" s="2">
        <v>18.0</v>
      </c>
      <c r="F9" s="2">
        <v>10.0</v>
      </c>
      <c r="G9" s="2" t="s">
        <v>25</v>
      </c>
    </row>
    <row r="10">
      <c r="A10" s="2">
        <v>1009.0</v>
      </c>
      <c r="B10" s="3" t="s">
        <v>26</v>
      </c>
      <c r="C10" s="3" t="s">
        <v>8</v>
      </c>
      <c r="D10" s="3" t="s">
        <v>15</v>
      </c>
      <c r="E10" s="2">
        <v>22.0</v>
      </c>
      <c r="F10" s="2">
        <v>25.0</v>
      </c>
      <c r="G10" s="2" t="s">
        <v>27</v>
      </c>
    </row>
    <row r="11">
      <c r="A11" s="2">
        <v>1010.0</v>
      </c>
      <c r="B11" s="3" t="s">
        <v>28</v>
      </c>
      <c r="C11" s="3" t="s">
        <v>11</v>
      </c>
      <c r="D11" s="3" t="s">
        <v>9</v>
      </c>
      <c r="E11" s="2">
        <v>8.0</v>
      </c>
      <c r="F11" s="2">
        <v>50.0</v>
      </c>
      <c r="G11" s="2" t="s">
        <v>29</v>
      </c>
    </row>
    <row r="12">
      <c r="A12" s="2">
        <v>1011.0</v>
      </c>
      <c r="B12" s="3" t="s">
        <v>30</v>
      </c>
      <c r="C12" s="3" t="s">
        <v>14</v>
      </c>
      <c r="D12" s="3" t="s">
        <v>19</v>
      </c>
      <c r="E12" s="2">
        <v>40.0</v>
      </c>
      <c r="F12" s="2">
        <v>5.0</v>
      </c>
      <c r="G12" s="2" t="s">
        <v>31</v>
      </c>
    </row>
    <row r="13">
      <c r="A13" s="2">
        <v>1012.0</v>
      </c>
      <c r="B13" s="3" t="s">
        <v>32</v>
      </c>
      <c r="C13" s="3" t="s">
        <v>17</v>
      </c>
      <c r="D13" s="3" t="s">
        <v>22</v>
      </c>
      <c r="E13" s="2">
        <v>35.0</v>
      </c>
      <c r="F13" s="2">
        <v>8.0</v>
      </c>
      <c r="G13" s="2" t="s">
        <v>33</v>
      </c>
    </row>
    <row r="14">
      <c r="A14" s="2">
        <v>1013.0</v>
      </c>
      <c r="B14" s="3" t="s">
        <v>34</v>
      </c>
      <c r="C14" s="3" t="s">
        <v>8</v>
      </c>
      <c r="D14" s="3" t="s">
        <v>9</v>
      </c>
      <c r="E14" s="2">
        <v>14.0</v>
      </c>
      <c r="F14" s="2">
        <v>50.0</v>
      </c>
      <c r="G14" s="2" t="s">
        <v>35</v>
      </c>
    </row>
    <row r="15">
      <c r="A15" s="2">
        <v>1014.0</v>
      </c>
      <c r="B15" s="3" t="s">
        <v>36</v>
      </c>
      <c r="C15" s="3" t="s">
        <v>11</v>
      </c>
      <c r="D15" s="3" t="s">
        <v>12</v>
      </c>
      <c r="E15" s="2">
        <v>28.0</v>
      </c>
      <c r="F15" s="2">
        <v>10.0</v>
      </c>
      <c r="G15" s="2" t="s">
        <v>37</v>
      </c>
    </row>
    <row r="16">
      <c r="A16" s="2">
        <v>1015.0</v>
      </c>
      <c r="B16" s="3" t="s">
        <v>38</v>
      </c>
      <c r="C16" s="3" t="s">
        <v>14</v>
      </c>
      <c r="D16" s="3" t="s">
        <v>15</v>
      </c>
      <c r="E16" s="2">
        <v>12.0</v>
      </c>
      <c r="F16" s="2">
        <v>25.0</v>
      </c>
      <c r="G16" s="2" t="s">
        <v>39</v>
      </c>
    </row>
    <row r="17">
      <c r="A17" s="2">
        <v>1016.0</v>
      </c>
      <c r="B17" s="3" t="s">
        <v>40</v>
      </c>
      <c r="C17" s="3" t="s">
        <v>17</v>
      </c>
      <c r="D17" s="3" t="s">
        <v>19</v>
      </c>
      <c r="E17" s="2">
        <v>25.0</v>
      </c>
      <c r="F17" s="2">
        <v>5.0</v>
      </c>
      <c r="G17" s="2" t="s">
        <v>41</v>
      </c>
    </row>
    <row r="18">
      <c r="A18" s="2">
        <v>1017.0</v>
      </c>
      <c r="B18" s="3" t="s">
        <v>42</v>
      </c>
      <c r="C18" s="3" t="s">
        <v>8</v>
      </c>
      <c r="D18" s="3" t="s">
        <v>22</v>
      </c>
      <c r="E18" s="2">
        <v>20.0</v>
      </c>
      <c r="F18" s="2">
        <v>8.0</v>
      </c>
      <c r="G18" s="2" t="s">
        <v>43</v>
      </c>
    </row>
    <row r="19">
      <c r="A19" s="2">
        <v>1018.0</v>
      </c>
      <c r="B19" s="3" t="s">
        <v>44</v>
      </c>
      <c r="C19" s="3" t="s">
        <v>11</v>
      </c>
      <c r="D19" s="3" t="s">
        <v>9</v>
      </c>
      <c r="E19" s="2">
        <v>10.0</v>
      </c>
      <c r="F19" s="2">
        <v>50.0</v>
      </c>
      <c r="G19" s="2" t="s">
        <v>45</v>
      </c>
    </row>
    <row r="20">
      <c r="A20" s="2">
        <v>1019.0</v>
      </c>
      <c r="B20" s="3" t="s">
        <v>46</v>
      </c>
      <c r="C20" s="3" t="s">
        <v>14</v>
      </c>
      <c r="D20" s="3" t="s">
        <v>12</v>
      </c>
      <c r="E20" s="2">
        <v>15.0</v>
      </c>
      <c r="F20" s="2">
        <v>10.0</v>
      </c>
      <c r="G20" s="2" t="s">
        <v>47</v>
      </c>
    </row>
    <row r="21">
      <c r="A21" s="2">
        <v>1020.0</v>
      </c>
      <c r="B21" s="3" t="s">
        <v>48</v>
      </c>
      <c r="C21" s="3" t="s">
        <v>17</v>
      </c>
      <c r="D21" s="3" t="s">
        <v>15</v>
      </c>
      <c r="E21" s="2">
        <v>18.0</v>
      </c>
      <c r="F21" s="2">
        <v>25.0</v>
      </c>
      <c r="G21" s="4">
        <v>45293.0</v>
      </c>
    </row>
    <row r="22">
      <c r="A22" s="2">
        <v>1021.0</v>
      </c>
      <c r="B22" s="3" t="s">
        <v>49</v>
      </c>
      <c r="C22" s="3" t="s">
        <v>8</v>
      </c>
      <c r="D22" s="3" t="s">
        <v>9</v>
      </c>
      <c r="E22" s="2">
        <v>9.0</v>
      </c>
      <c r="F22" s="2">
        <v>50.0</v>
      </c>
      <c r="G22" s="4">
        <v>45324.0</v>
      </c>
    </row>
    <row r="23">
      <c r="A23" s="2">
        <v>1022.0</v>
      </c>
      <c r="B23" s="3" t="s">
        <v>50</v>
      </c>
      <c r="C23" s="3" t="s">
        <v>11</v>
      </c>
      <c r="D23" s="3" t="s">
        <v>19</v>
      </c>
      <c r="E23" s="2">
        <v>35.0</v>
      </c>
      <c r="F23" s="2">
        <v>5.0</v>
      </c>
      <c r="G23" s="4">
        <v>45353.0</v>
      </c>
    </row>
    <row r="24">
      <c r="A24" s="2">
        <v>1023.0</v>
      </c>
      <c r="B24" s="3" t="s">
        <v>51</v>
      </c>
      <c r="C24" s="3" t="s">
        <v>14</v>
      </c>
      <c r="D24" s="3" t="s">
        <v>22</v>
      </c>
      <c r="E24" s="2">
        <v>30.0</v>
      </c>
      <c r="F24" s="2">
        <v>8.0</v>
      </c>
      <c r="G24" s="4">
        <v>45384.0</v>
      </c>
    </row>
    <row r="25">
      <c r="A25" s="2">
        <v>1024.0</v>
      </c>
      <c r="B25" s="3" t="s">
        <v>52</v>
      </c>
      <c r="C25" s="3" t="s">
        <v>17</v>
      </c>
      <c r="D25" s="3" t="s">
        <v>9</v>
      </c>
      <c r="E25" s="2">
        <v>11.0</v>
      </c>
      <c r="F25" s="2">
        <v>50.0</v>
      </c>
      <c r="G25" s="4">
        <v>45445.0</v>
      </c>
    </row>
    <row r="26">
      <c r="A26" s="2">
        <v>1025.0</v>
      </c>
      <c r="B26" s="3" t="s">
        <v>53</v>
      </c>
      <c r="C26" s="3" t="s">
        <v>8</v>
      </c>
      <c r="D26" s="3" t="s">
        <v>12</v>
      </c>
      <c r="E26" s="2">
        <v>14.0</v>
      </c>
      <c r="F26" s="2">
        <v>10.0</v>
      </c>
      <c r="G26" s="4">
        <v>45475.0</v>
      </c>
    </row>
    <row r="27">
      <c r="A27" s="2">
        <v>1026.0</v>
      </c>
      <c r="B27" s="3" t="s">
        <v>54</v>
      </c>
      <c r="C27" s="3" t="s">
        <v>11</v>
      </c>
      <c r="D27" s="3" t="s">
        <v>15</v>
      </c>
      <c r="E27" s="2">
        <v>16.0</v>
      </c>
      <c r="F27" s="2">
        <v>25.0</v>
      </c>
      <c r="G27" s="4">
        <v>45506.0</v>
      </c>
    </row>
    <row r="28">
      <c r="A28" s="2">
        <v>1027.0</v>
      </c>
      <c r="B28" s="3" t="s">
        <v>55</v>
      </c>
      <c r="C28" s="3" t="s">
        <v>14</v>
      </c>
      <c r="D28" s="3" t="s">
        <v>19</v>
      </c>
      <c r="E28" s="2">
        <v>22.0</v>
      </c>
      <c r="F28" s="2">
        <v>5.0</v>
      </c>
      <c r="G28" s="4">
        <v>45537.0</v>
      </c>
    </row>
    <row r="29">
      <c r="A29" s="2">
        <v>1028.0</v>
      </c>
      <c r="B29" s="3" t="s">
        <v>56</v>
      </c>
      <c r="C29" s="3" t="s">
        <v>17</v>
      </c>
      <c r="D29" s="3" t="s">
        <v>22</v>
      </c>
      <c r="E29" s="2">
        <v>27.0</v>
      </c>
      <c r="F29" s="2">
        <v>8.0</v>
      </c>
      <c r="G29" s="4">
        <v>45567.0</v>
      </c>
    </row>
    <row r="30">
      <c r="A30" s="2">
        <v>1029.0</v>
      </c>
      <c r="B30" s="3" t="s">
        <v>57</v>
      </c>
      <c r="C30" s="3" t="s">
        <v>8</v>
      </c>
      <c r="D30" s="3" t="s">
        <v>9</v>
      </c>
      <c r="E30" s="2">
        <v>13.0</v>
      </c>
      <c r="F30" s="2">
        <v>50.0</v>
      </c>
      <c r="G30" s="4">
        <v>45628.0</v>
      </c>
    </row>
    <row r="31">
      <c r="A31" s="2">
        <v>1030.0</v>
      </c>
      <c r="B31" s="3" t="s">
        <v>58</v>
      </c>
      <c r="C31" s="3" t="s">
        <v>11</v>
      </c>
      <c r="D31" s="3" t="s">
        <v>12</v>
      </c>
      <c r="E31" s="2">
        <v>32.0</v>
      </c>
      <c r="F31" s="2">
        <v>10.0</v>
      </c>
      <c r="G31" s="2" t="s">
        <v>59</v>
      </c>
    </row>
    <row r="32">
      <c r="A32" s="2">
        <v>1031.0</v>
      </c>
      <c r="B32" s="3" t="s">
        <v>60</v>
      </c>
      <c r="C32" s="3" t="s">
        <v>14</v>
      </c>
      <c r="D32" s="3" t="s">
        <v>15</v>
      </c>
      <c r="E32" s="2">
        <v>10.0</v>
      </c>
      <c r="F32" s="2">
        <v>25.0</v>
      </c>
      <c r="G32" s="2" t="s">
        <v>61</v>
      </c>
    </row>
    <row r="33">
      <c r="A33" s="2">
        <v>1032.0</v>
      </c>
      <c r="B33" s="3" t="s">
        <v>62</v>
      </c>
      <c r="C33" s="3" t="s">
        <v>17</v>
      </c>
      <c r="D33" s="3" t="s">
        <v>19</v>
      </c>
      <c r="E33" s="2">
        <v>18.0</v>
      </c>
      <c r="F33" s="2">
        <v>5.0</v>
      </c>
      <c r="G33" s="2" t="s">
        <v>63</v>
      </c>
    </row>
    <row r="34">
      <c r="A34" s="2">
        <v>1033.0</v>
      </c>
      <c r="B34" s="3" t="s">
        <v>64</v>
      </c>
      <c r="C34" s="3" t="s">
        <v>8</v>
      </c>
      <c r="D34" s="3" t="s">
        <v>22</v>
      </c>
      <c r="E34" s="2">
        <v>22.0</v>
      </c>
      <c r="F34" s="2">
        <v>8.0</v>
      </c>
      <c r="G34" s="2" t="s">
        <v>65</v>
      </c>
    </row>
    <row r="35">
      <c r="A35" s="2">
        <v>1034.0</v>
      </c>
      <c r="B35" s="3" t="s">
        <v>66</v>
      </c>
      <c r="C35" s="3" t="s">
        <v>11</v>
      </c>
      <c r="D35" s="3" t="s">
        <v>9</v>
      </c>
      <c r="E35" s="2">
        <v>17.0</v>
      </c>
      <c r="F35" s="2">
        <v>50.0</v>
      </c>
      <c r="G35" s="2" t="s">
        <v>67</v>
      </c>
    </row>
    <row r="36">
      <c r="A36" s="2">
        <v>1035.0</v>
      </c>
      <c r="B36" s="3" t="s">
        <v>68</v>
      </c>
      <c r="C36" s="3" t="s">
        <v>14</v>
      </c>
      <c r="D36" s="3" t="s">
        <v>12</v>
      </c>
      <c r="E36" s="2">
        <v>19.0</v>
      </c>
      <c r="F36" s="2">
        <v>10.0</v>
      </c>
      <c r="G36" s="2" t="s">
        <v>69</v>
      </c>
    </row>
    <row r="37">
      <c r="A37" s="2">
        <v>1036.0</v>
      </c>
      <c r="B37" s="3" t="s">
        <v>70</v>
      </c>
      <c r="C37" s="3" t="s">
        <v>17</v>
      </c>
      <c r="D37" s="3" t="s">
        <v>15</v>
      </c>
      <c r="E37" s="2">
        <v>15.0</v>
      </c>
      <c r="F37" s="2">
        <v>25.0</v>
      </c>
      <c r="G37" s="2" t="s">
        <v>71</v>
      </c>
    </row>
    <row r="38">
      <c r="A38" s="2">
        <v>1037.0</v>
      </c>
      <c r="B38" s="3" t="s">
        <v>72</v>
      </c>
      <c r="C38" s="3" t="s">
        <v>8</v>
      </c>
      <c r="D38" s="3" t="s">
        <v>19</v>
      </c>
      <c r="E38" s="2">
        <v>28.0</v>
      </c>
      <c r="F38" s="2">
        <v>5.0</v>
      </c>
      <c r="G38" s="2" t="s">
        <v>73</v>
      </c>
    </row>
    <row r="39">
      <c r="A39" s="2">
        <v>1038.0</v>
      </c>
      <c r="B39" s="3" t="s">
        <v>74</v>
      </c>
      <c r="C39" s="3" t="s">
        <v>11</v>
      </c>
      <c r="D39" s="3" t="s">
        <v>22</v>
      </c>
      <c r="E39" s="2">
        <v>24.0</v>
      </c>
      <c r="F39" s="2">
        <v>8.0</v>
      </c>
      <c r="G39" s="2" t="s">
        <v>75</v>
      </c>
    </row>
    <row r="40">
      <c r="A40" s="2">
        <v>1039.0</v>
      </c>
      <c r="B40" s="3" t="s">
        <v>76</v>
      </c>
      <c r="C40" s="3" t="s">
        <v>14</v>
      </c>
      <c r="D40" s="3" t="s">
        <v>9</v>
      </c>
      <c r="E40" s="2">
        <v>16.0</v>
      </c>
      <c r="F40" s="2">
        <v>50.0</v>
      </c>
      <c r="G40" s="2" t="s">
        <v>77</v>
      </c>
    </row>
    <row r="41">
      <c r="A41" s="2">
        <v>1040.0</v>
      </c>
      <c r="B41" s="3" t="s">
        <v>78</v>
      </c>
      <c r="C41" s="3" t="s">
        <v>17</v>
      </c>
      <c r="D41" s="3" t="s">
        <v>12</v>
      </c>
      <c r="E41" s="2">
        <v>27.0</v>
      </c>
      <c r="F41" s="2">
        <v>10.0</v>
      </c>
      <c r="G41" s="2" t="s">
        <v>79</v>
      </c>
    </row>
    <row r="42">
      <c r="A42" s="2">
        <v>1041.0</v>
      </c>
      <c r="B42" s="3" t="s">
        <v>80</v>
      </c>
      <c r="C42" s="3" t="s">
        <v>8</v>
      </c>
      <c r="D42" s="3" t="s">
        <v>15</v>
      </c>
      <c r="E42" s="2">
        <v>21.0</v>
      </c>
      <c r="F42" s="2">
        <v>25.0</v>
      </c>
      <c r="G42" s="2" t="s">
        <v>81</v>
      </c>
    </row>
    <row r="43">
      <c r="A43" s="2">
        <v>1042.0</v>
      </c>
      <c r="B43" s="3" t="s">
        <v>82</v>
      </c>
      <c r="C43" s="3" t="s">
        <v>11</v>
      </c>
      <c r="D43" s="3" t="s">
        <v>19</v>
      </c>
      <c r="E43" s="2">
        <v>30.0</v>
      </c>
      <c r="F43" s="2">
        <v>5.0</v>
      </c>
      <c r="G43" s="2" t="s">
        <v>83</v>
      </c>
    </row>
    <row r="44">
      <c r="A44" s="2">
        <v>1043.0</v>
      </c>
      <c r="B44" s="3" t="s">
        <v>84</v>
      </c>
      <c r="C44" s="3" t="s">
        <v>14</v>
      </c>
      <c r="D44" s="3" t="s">
        <v>22</v>
      </c>
      <c r="E44" s="2">
        <v>26.0</v>
      </c>
      <c r="F44" s="2">
        <v>8.0</v>
      </c>
      <c r="G44" s="4">
        <v>45294.0</v>
      </c>
    </row>
    <row r="45">
      <c r="A45" s="2">
        <v>1044.0</v>
      </c>
      <c r="B45" s="3" t="s">
        <v>85</v>
      </c>
      <c r="C45" s="3" t="s">
        <v>17</v>
      </c>
      <c r="D45" s="3" t="s">
        <v>9</v>
      </c>
      <c r="E45" s="2">
        <v>14.0</v>
      </c>
      <c r="F45" s="2">
        <v>50.0</v>
      </c>
      <c r="G45" s="4">
        <v>45325.0</v>
      </c>
    </row>
    <row r="46">
      <c r="A46" s="2">
        <v>1045.0</v>
      </c>
      <c r="B46" s="3" t="s">
        <v>86</v>
      </c>
      <c r="C46" s="3" t="s">
        <v>8</v>
      </c>
      <c r="D46" s="3" t="s">
        <v>12</v>
      </c>
      <c r="E46" s="2">
        <v>20.0</v>
      </c>
      <c r="F46" s="2">
        <v>10.0</v>
      </c>
      <c r="G46" s="4">
        <v>45354.0</v>
      </c>
    </row>
    <row r="47">
      <c r="A47" s="2">
        <v>1046.0</v>
      </c>
      <c r="B47" s="3" t="s">
        <v>87</v>
      </c>
      <c r="C47" s="3" t="s">
        <v>11</v>
      </c>
      <c r="D47" s="3" t="s">
        <v>15</v>
      </c>
      <c r="E47" s="2">
        <v>17.0</v>
      </c>
      <c r="F47" s="2">
        <v>25.0</v>
      </c>
      <c r="G47" s="4">
        <v>45385.0</v>
      </c>
    </row>
    <row r="48">
      <c r="A48" s="2">
        <v>1047.0</v>
      </c>
      <c r="B48" s="3" t="s">
        <v>88</v>
      </c>
      <c r="C48" s="3" t="s">
        <v>14</v>
      </c>
      <c r="D48" s="3" t="s">
        <v>19</v>
      </c>
      <c r="E48" s="2">
        <v>19.0</v>
      </c>
      <c r="F48" s="2">
        <v>5.0</v>
      </c>
      <c r="G48" s="4">
        <v>45415.0</v>
      </c>
    </row>
    <row r="49">
      <c r="A49" s="2">
        <v>1048.0</v>
      </c>
      <c r="B49" s="3" t="s">
        <v>89</v>
      </c>
      <c r="C49" s="3" t="s">
        <v>17</v>
      </c>
      <c r="D49" s="3" t="s">
        <v>22</v>
      </c>
      <c r="E49" s="2">
        <v>32.0</v>
      </c>
      <c r="F49" s="2">
        <v>8.0</v>
      </c>
      <c r="G49" s="4">
        <v>45446.0</v>
      </c>
    </row>
    <row r="50">
      <c r="A50" s="2">
        <v>1049.0</v>
      </c>
      <c r="B50" s="3" t="s">
        <v>90</v>
      </c>
      <c r="C50" s="3" t="s">
        <v>8</v>
      </c>
      <c r="D50" s="3" t="s">
        <v>9</v>
      </c>
      <c r="E50" s="2">
        <v>12.0</v>
      </c>
      <c r="F50" s="2">
        <v>50.0</v>
      </c>
      <c r="G50" s="4">
        <v>45476.0</v>
      </c>
    </row>
    <row r="51">
      <c r="A51" s="2">
        <v>1050.0</v>
      </c>
      <c r="B51" s="3" t="s">
        <v>91</v>
      </c>
      <c r="C51" s="3" t="s">
        <v>11</v>
      </c>
      <c r="D51" s="3" t="s">
        <v>12</v>
      </c>
      <c r="E51" s="2">
        <v>25.0</v>
      </c>
      <c r="F51" s="2">
        <v>10.0</v>
      </c>
      <c r="G51" s="4">
        <v>45507.0</v>
      </c>
    </row>
  </sheetData>
  <autoFilter ref="$A$1:$Y$5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5" t="s">
        <v>92</v>
      </c>
    </row>
    <row r="2">
      <c r="A2" s="6"/>
    </row>
    <row r="3">
      <c r="A3" s="7" t="s">
        <v>93</v>
      </c>
    </row>
    <row r="4">
      <c r="A4" s="5" t="s">
        <v>94</v>
      </c>
      <c r="B4" s="8" t="s">
        <v>95</v>
      </c>
    </row>
    <row r="5">
      <c r="B5" s="8" t="s">
        <v>96</v>
      </c>
    </row>
    <row r="7">
      <c r="A7" s="5" t="s">
        <v>97</v>
      </c>
      <c r="B7" s="9" t="s">
        <v>98</v>
      </c>
    </row>
    <row r="8">
      <c r="B8" s="5" t="s">
        <v>99</v>
      </c>
    </row>
    <row r="10">
      <c r="A10" s="5" t="s">
        <v>100</v>
      </c>
      <c r="B10" s="9" t="s">
        <v>101</v>
      </c>
    </row>
    <row r="11">
      <c r="B11" s="7" t="s">
        <v>102</v>
      </c>
      <c r="C11" s="9" t="s">
        <v>103</v>
      </c>
    </row>
    <row r="12">
      <c r="C12" s="8" t="s">
        <v>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105</v>
      </c>
    </row>
    <row r="2">
      <c r="A2" s="10" t="s">
        <v>106</v>
      </c>
      <c r="B2" s="10" t="s">
        <v>107</v>
      </c>
    </row>
    <row r="3">
      <c r="A3" s="11" t="s">
        <v>108</v>
      </c>
      <c r="B3" s="11">
        <v>500000.0</v>
      </c>
    </row>
    <row r="4">
      <c r="A4" s="11" t="s">
        <v>109</v>
      </c>
      <c r="B4" s="11">
        <v>10500.0</v>
      </c>
    </row>
    <row r="5">
      <c r="A5" s="11" t="s">
        <v>110</v>
      </c>
      <c r="B5" s="11">
        <v>25000.0</v>
      </c>
    </row>
    <row r="6">
      <c r="A6" s="7" t="s">
        <v>111</v>
      </c>
    </row>
    <row r="7">
      <c r="A7" s="8"/>
    </row>
    <row r="8">
      <c r="A8" s="8" t="s">
        <v>112</v>
      </c>
    </row>
    <row r="9">
      <c r="A9" s="8"/>
    </row>
    <row r="10">
      <c r="A10" s="8" t="s">
        <v>113</v>
      </c>
    </row>
    <row r="11">
      <c r="A11" s="12"/>
    </row>
    <row r="12">
      <c r="A12" s="13">
        <f>sum(B3,B4)</f>
        <v>510500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114</v>
      </c>
    </row>
    <row r="2">
      <c r="A2" s="14" t="s">
        <v>115</v>
      </c>
      <c r="B2" s="14" t="s">
        <v>107</v>
      </c>
      <c r="C2" s="14" t="s">
        <v>116</v>
      </c>
    </row>
    <row r="3">
      <c r="A3" s="14" t="s">
        <v>117</v>
      </c>
      <c r="B3" s="15">
        <v>90.0</v>
      </c>
      <c r="C3" s="15">
        <v>1000.0</v>
      </c>
    </row>
    <row r="4">
      <c r="A4" s="14" t="s">
        <v>118</v>
      </c>
      <c r="B4" s="15">
        <v>150.0</v>
      </c>
      <c r="C4" s="15">
        <v>1200.0</v>
      </c>
    </row>
    <row r="5">
      <c r="A5" s="14" t="s">
        <v>119</v>
      </c>
      <c r="B5" s="15">
        <v>250.0</v>
      </c>
      <c r="C5" s="15">
        <v>1500.0</v>
      </c>
    </row>
    <row r="7">
      <c r="A7" s="7" t="s">
        <v>120</v>
      </c>
    </row>
    <row r="8">
      <c r="A8" s="8"/>
    </row>
    <row r="9">
      <c r="A9" s="8" t="s">
        <v>121</v>
      </c>
    </row>
    <row r="11">
      <c r="A11" s="13">
        <f>AVERAGEIFS($C$3:$C$5,$B$3:$B$5,"&gt;100",$B$3:$B$5,"&lt;300")</f>
        <v>1350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122</v>
      </c>
    </row>
    <row r="2">
      <c r="A2" s="8"/>
    </row>
    <row r="3">
      <c r="A3" s="8" t="s">
        <v>123</v>
      </c>
    </row>
    <row r="5">
      <c r="A5" s="13">
        <f>COUNTA(Dataset!$B$2:$B$51)</f>
        <v>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1.75"/>
    <col customWidth="1" min="9" max="9" width="32.88"/>
  </cols>
  <sheetData>
    <row r="1">
      <c r="A1" s="8" t="s">
        <v>124</v>
      </c>
    </row>
    <row r="3">
      <c r="A3" s="8" t="s">
        <v>125</v>
      </c>
      <c r="B3" s="8" t="s">
        <v>126</v>
      </c>
    </row>
    <row r="5">
      <c r="A5" s="7" t="s">
        <v>93</v>
      </c>
      <c r="B5" s="8"/>
      <c r="G5" s="12"/>
    </row>
    <row r="7">
      <c r="A7" s="8" t="s">
        <v>127</v>
      </c>
      <c r="B7" s="1"/>
      <c r="C7" s="1"/>
      <c r="D7" s="1"/>
      <c r="E7" s="1"/>
      <c r="F7" s="1"/>
      <c r="G7" s="1"/>
      <c r="H7" s="7"/>
      <c r="I7" s="7"/>
    </row>
    <row r="8">
      <c r="A8" s="13">
        <f>SUMPRODUCT(E12:E61,F12:F61)</f>
        <v>16543</v>
      </c>
      <c r="B8" s="1"/>
      <c r="C8" s="1"/>
      <c r="D8" s="1"/>
      <c r="E8" s="1"/>
      <c r="F8" s="1"/>
      <c r="G8" s="1"/>
      <c r="H8" s="7"/>
      <c r="I8" s="7"/>
    </row>
    <row r="9">
      <c r="A9" s="1"/>
      <c r="B9" s="1"/>
      <c r="C9" s="1"/>
      <c r="D9" s="1"/>
      <c r="E9" s="1"/>
      <c r="F9" s="1"/>
      <c r="G9" s="1"/>
      <c r="H9" s="7"/>
      <c r="I9" s="7"/>
    </row>
    <row r="10">
      <c r="A10" s="8" t="s">
        <v>128</v>
      </c>
      <c r="B10" s="1"/>
      <c r="C10" s="1"/>
      <c r="D10" s="1"/>
      <c r="E10" s="1"/>
      <c r="F10" s="1"/>
      <c r="G10" s="1"/>
      <c r="H10" s="7"/>
      <c r="I10" s="7"/>
    </row>
    <row r="11">
      <c r="A11" s="16" t="s">
        <v>0</v>
      </c>
      <c r="B11" s="16" t="s">
        <v>1</v>
      </c>
      <c r="C11" s="16" t="s">
        <v>2</v>
      </c>
      <c r="D11" s="16" t="s">
        <v>3</v>
      </c>
      <c r="E11" s="16" t="s">
        <v>4</v>
      </c>
      <c r="F11" s="16" t="s">
        <v>5</v>
      </c>
      <c r="G11" s="16" t="s">
        <v>6</v>
      </c>
      <c r="H11" s="17" t="s">
        <v>129</v>
      </c>
      <c r="I11" s="17" t="s">
        <v>130</v>
      </c>
    </row>
    <row r="12">
      <c r="A12" s="18">
        <v>1001.0</v>
      </c>
      <c r="B12" s="19" t="s">
        <v>7</v>
      </c>
      <c r="C12" s="19" t="s">
        <v>8</v>
      </c>
      <c r="D12" s="19" t="s">
        <v>9</v>
      </c>
      <c r="E12" s="18">
        <v>10.0</v>
      </c>
      <c r="F12" s="18">
        <v>50.0</v>
      </c>
      <c r="G12" s="20">
        <v>45413.0</v>
      </c>
      <c r="H12" s="21">
        <f t="shared" ref="H12:H61" si="1">($E12*$F12)</f>
        <v>500</v>
      </c>
      <c r="I12" s="21">
        <f t="shared" ref="I12:I61" si="2">SUMPRODUCT($E12,$F12)</f>
        <v>500</v>
      </c>
    </row>
    <row r="13">
      <c r="A13" s="18">
        <v>1002.0</v>
      </c>
      <c r="B13" s="19" t="s">
        <v>10</v>
      </c>
      <c r="C13" s="19" t="s">
        <v>11</v>
      </c>
      <c r="D13" s="19" t="s">
        <v>12</v>
      </c>
      <c r="E13" s="18">
        <v>20.0</v>
      </c>
      <c r="F13" s="18">
        <v>10.0</v>
      </c>
      <c r="G13" s="20">
        <v>45444.0</v>
      </c>
      <c r="H13" s="21">
        <f t="shared" si="1"/>
        <v>200</v>
      </c>
      <c r="I13" s="21">
        <f t="shared" si="2"/>
        <v>200</v>
      </c>
    </row>
    <row r="14">
      <c r="A14" s="18">
        <v>1003.0</v>
      </c>
      <c r="B14" s="19" t="s">
        <v>13</v>
      </c>
      <c r="C14" s="19" t="s">
        <v>14</v>
      </c>
      <c r="D14" s="19" t="s">
        <v>15</v>
      </c>
      <c r="E14" s="18">
        <v>15.0</v>
      </c>
      <c r="F14" s="18">
        <v>25.0</v>
      </c>
      <c r="G14" s="20">
        <v>45474.0</v>
      </c>
      <c r="H14" s="21">
        <f t="shared" si="1"/>
        <v>375</v>
      </c>
      <c r="I14" s="21">
        <f t="shared" si="2"/>
        <v>375</v>
      </c>
    </row>
    <row r="15">
      <c r="A15" s="18">
        <v>1004.0</v>
      </c>
      <c r="B15" s="19" t="s">
        <v>16</v>
      </c>
      <c r="C15" s="19" t="s">
        <v>17</v>
      </c>
      <c r="D15" s="19" t="s">
        <v>9</v>
      </c>
      <c r="E15" s="18">
        <v>5.0</v>
      </c>
      <c r="F15" s="18">
        <v>50.0</v>
      </c>
      <c r="G15" s="20">
        <v>45505.0</v>
      </c>
      <c r="H15" s="21">
        <f t="shared" si="1"/>
        <v>250</v>
      </c>
      <c r="I15" s="21">
        <f t="shared" si="2"/>
        <v>250</v>
      </c>
    </row>
    <row r="16">
      <c r="A16" s="18">
        <v>1005.0</v>
      </c>
      <c r="B16" s="19" t="s">
        <v>18</v>
      </c>
      <c r="C16" s="19" t="s">
        <v>8</v>
      </c>
      <c r="D16" s="19" t="s">
        <v>19</v>
      </c>
      <c r="E16" s="18">
        <v>30.0</v>
      </c>
      <c r="F16" s="18">
        <v>5.0</v>
      </c>
      <c r="G16" s="20">
        <v>45566.0</v>
      </c>
      <c r="H16" s="21">
        <f t="shared" si="1"/>
        <v>150</v>
      </c>
      <c r="I16" s="21">
        <f t="shared" si="2"/>
        <v>150</v>
      </c>
    </row>
    <row r="17">
      <c r="A17" s="18">
        <v>1006.0</v>
      </c>
      <c r="B17" s="19" t="s">
        <v>20</v>
      </c>
      <c r="C17" s="19" t="s">
        <v>11</v>
      </c>
      <c r="D17" s="19" t="s">
        <v>9</v>
      </c>
      <c r="E17" s="18">
        <v>12.0</v>
      </c>
      <c r="F17" s="18">
        <v>50.0</v>
      </c>
      <c r="G17" s="20">
        <v>45597.0</v>
      </c>
      <c r="H17" s="21">
        <f t="shared" si="1"/>
        <v>600</v>
      </c>
      <c r="I17" s="21">
        <f t="shared" si="2"/>
        <v>600</v>
      </c>
    </row>
    <row r="18">
      <c r="A18" s="18">
        <v>1007.0</v>
      </c>
      <c r="B18" s="19" t="s">
        <v>21</v>
      </c>
      <c r="C18" s="19" t="s">
        <v>14</v>
      </c>
      <c r="D18" s="19" t="s">
        <v>22</v>
      </c>
      <c r="E18" s="18">
        <v>25.0</v>
      </c>
      <c r="F18" s="18">
        <v>8.0</v>
      </c>
      <c r="G18" s="18" t="s">
        <v>23</v>
      </c>
      <c r="H18" s="21">
        <f t="shared" si="1"/>
        <v>200</v>
      </c>
      <c r="I18" s="21">
        <f t="shared" si="2"/>
        <v>200</v>
      </c>
    </row>
    <row r="19">
      <c r="A19" s="18">
        <v>1008.0</v>
      </c>
      <c r="B19" s="19" t="s">
        <v>24</v>
      </c>
      <c r="C19" s="19" t="s">
        <v>17</v>
      </c>
      <c r="D19" s="19" t="s">
        <v>12</v>
      </c>
      <c r="E19" s="18">
        <v>18.0</v>
      </c>
      <c r="F19" s="18">
        <v>10.0</v>
      </c>
      <c r="G19" s="18" t="s">
        <v>25</v>
      </c>
      <c r="H19" s="21">
        <f t="shared" si="1"/>
        <v>180</v>
      </c>
      <c r="I19" s="21">
        <f t="shared" si="2"/>
        <v>180</v>
      </c>
    </row>
    <row r="20">
      <c r="A20" s="18">
        <v>1009.0</v>
      </c>
      <c r="B20" s="19" t="s">
        <v>26</v>
      </c>
      <c r="C20" s="19" t="s">
        <v>8</v>
      </c>
      <c r="D20" s="19" t="s">
        <v>15</v>
      </c>
      <c r="E20" s="18">
        <v>22.0</v>
      </c>
      <c r="F20" s="18">
        <v>25.0</v>
      </c>
      <c r="G20" s="18" t="s">
        <v>27</v>
      </c>
      <c r="H20" s="21">
        <f t="shared" si="1"/>
        <v>550</v>
      </c>
      <c r="I20" s="21">
        <f t="shared" si="2"/>
        <v>550</v>
      </c>
    </row>
    <row r="21">
      <c r="A21" s="18">
        <v>1010.0</v>
      </c>
      <c r="B21" s="19" t="s">
        <v>28</v>
      </c>
      <c r="C21" s="19" t="s">
        <v>11</v>
      </c>
      <c r="D21" s="19" t="s">
        <v>9</v>
      </c>
      <c r="E21" s="18">
        <v>8.0</v>
      </c>
      <c r="F21" s="18">
        <v>50.0</v>
      </c>
      <c r="G21" s="18" t="s">
        <v>29</v>
      </c>
      <c r="H21" s="21">
        <f t="shared" si="1"/>
        <v>400</v>
      </c>
      <c r="I21" s="21">
        <f t="shared" si="2"/>
        <v>400</v>
      </c>
    </row>
    <row r="22">
      <c r="A22" s="18">
        <v>1011.0</v>
      </c>
      <c r="B22" s="19" t="s">
        <v>30</v>
      </c>
      <c r="C22" s="19" t="s">
        <v>14</v>
      </c>
      <c r="D22" s="19" t="s">
        <v>19</v>
      </c>
      <c r="E22" s="18">
        <v>40.0</v>
      </c>
      <c r="F22" s="18">
        <v>5.0</v>
      </c>
      <c r="G22" s="18" t="s">
        <v>31</v>
      </c>
      <c r="H22" s="21">
        <f t="shared" si="1"/>
        <v>200</v>
      </c>
      <c r="I22" s="21">
        <f t="shared" si="2"/>
        <v>200</v>
      </c>
    </row>
    <row r="23">
      <c r="A23" s="18">
        <v>1012.0</v>
      </c>
      <c r="B23" s="19" t="s">
        <v>32</v>
      </c>
      <c r="C23" s="19" t="s">
        <v>17</v>
      </c>
      <c r="D23" s="19" t="s">
        <v>22</v>
      </c>
      <c r="E23" s="18">
        <v>35.0</v>
      </c>
      <c r="F23" s="18">
        <v>8.0</v>
      </c>
      <c r="G23" s="18" t="s">
        <v>33</v>
      </c>
      <c r="H23" s="21">
        <f t="shared" si="1"/>
        <v>280</v>
      </c>
      <c r="I23" s="21">
        <f t="shared" si="2"/>
        <v>280</v>
      </c>
    </row>
    <row r="24">
      <c r="A24" s="18">
        <v>1013.0</v>
      </c>
      <c r="B24" s="19" t="s">
        <v>34</v>
      </c>
      <c r="C24" s="19" t="s">
        <v>8</v>
      </c>
      <c r="D24" s="19" t="s">
        <v>9</v>
      </c>
      <c r="E24" s="18">
        <v>14.0</v>
      </c>
      <c r="F24" s="18">
        <v>50.0</v>
      </c>
      <c r="G24" s="18" t="s">
        <v>35</v>
      </c>
      <c r="H24" s="21">
        <f t="shared" si="1"/>
        <v>700</v>
      </c>
      <c r="I24" s="21">
        <f t="shared" si="2"/>
        <v>700</v>
      </c>
    </row>
    <row r="25">
      <c r="A25" s="18">
        <v>1014.0</v>
      </c>
      <c r="B25" s="19" t="s">
        <v>36</v>
      </c>
      <c r="C25" s="19" t="s">
        <v>11</v>
      </c>
      <c r="D25" s="19" t="s">
        <v>12</v>
      </c>
      <c r="E25" s="18">
        <v>28.0</v>
      </c>
      <c r="F25" s="18">
        <v>10.0</v>
      </c>
      <c r="G25" s="18" t="s">
        <v>37</v>
      </c>
      <c r="H25" s="21">
        <f t="shared" si="1"/>
        <v>280</v>
      </c>
      <c r="I25" s="21">
        <f t="shared" si="2"/>
        <v>280</v>
      </c>
    </row>
    <row r="26">
      <c r="A26" s="18">
        <v>1015.0</v>
      </c>
      <c r="B26" s="19" t="s">
        <v>38</v>
      </c>
      <c r="C26" s="19" t="s">
        <v>14</v>
      </c>
      <c r="D26" s="19" t="s">
        <v>15</v>
      </c>
      <c r="E26" s="18">
        <v>12.0</v>
      </c>
      <c r="F26" s="18">
        <v>25.0</v>
      </c>
      <c r="G26" s="18" t="s">
        <v>39</v>
      </c>
      <c r="H26" s="21">
        <f t="shared" si="1"/>
        <v>300</v>
      </c>
      <c r="I26" s="21">
        <f t="shared" si="2"/>
        <v>300</v>
      </c>
    </row>
    <row r="27">
      <c r="A27" s="18">
        <v>1016.0</v>
      </c>
      <c r="B27" s="19" t="s">
        <v>40</v>
      </c>
      <c r="C27" s="19" t="s">
        <v>17</v>
      </c>
      <c r="D27" s="19" t="s">
        <v>19</v>
      </c>
      <c r="E27" s="18">
        <v>25.0</v>
      </c>
      <c r="F27" s="18">
        <v>5.0</v>
      </c>
      <c r="G27" s="18" t="s">
        <v>41</v>
      </c>
      <c r="H27" s="21">
        <f t="shared" si="1"/>
        <v>125</v>
      </c>
      <c r="I27" s="21">
        <f t="shared" si="2"/>
        <v>125</v>
      </c>
    </row>
    <row r="28">
      <c r="A28" s="18">
        <v>1017.0</v>
      </c>
      <c r="B28" s="19" t="s">
        <v>42</v>
      </c>
      <c r="C28" s="19" t="s">
        <v>8</v>
      </c>
      <c r="D28" s="19" t="s">
        <v>22</v>
      </c>
      <c r="E28" s="18">
        <v>20.0</v>
      </c>
      <c r="F28" s="18">
        <v>8.0</v>
      </c>
      <c r="G28" s="18" t="s">
        <v>43</v>
      </c>
      <c r="H28" s="21">
        <f t="shared" si="1"/>
        <v>160</v>
      </c>
      <c r="I28" s="21">
        <f t="shared" si="2"/>
        <v>160</v>
      </c>
    </row>
    <row r="29">
      <c r="A29" s="18">
        <v>1018.0</v>
      </c>
      <c r="B29" s="19" t="s">
        <v>44</v>
      </c>
      <c r="C29" s="19" t="s">
        <v>11</v>
      </c>
      <c r="D29" s="19" t="s">
        <v>9</v>
      </c>
      <c r="E29" s="18">
        <v>10.0</v>
      </c>
      <c r="F29" s="18">
        <v>50.0</v>
      </c>
      <c r="G29" s="18" t="s">
        <v>45</v>
      </c>
      <c r="H29" s="21">
        <f t="shared" si="1"/>
        <v>500</v>
      </c>
      <c r="I29" s="21">
        <f t="shared" si="2"/>
        <v>500</v>
      </c>
    </row>
    <row r="30">
      <c r="A30" s="18">
        <v>1019.0</v>
      </c>
      <c r="B30" s="19" t="s">
        <v>46</v>
      </c>
      <c r="C30" s="19" t="s">
        <v>14</v>
      </c>
      <c r="D30" s="19" t="s">
        <v>12</v>
      </c>
      <c r="E30" s="18">
        <v>15.0</v>
      </c>
      <c r="F30" s="18">
        <v>10.0</v>
      </c>
      <c r="G30" s="18" t="s">
        <v>47</v>
      </c>
      <c r="H30" s="21">
        <f t="shared" si="1"/>
        <v>150</v>
      </c>
      <c r="I30" s="21">
        <f t="shared" si="2"/>
        <v>150</v>
      </c>
    </row>
    <row r="31">
      <c r="A31" s="18">
        <v>1020.0</v>
      </c>
      <c r="B31" s="19" t="s">
        <v>48</v>
      </c>
      <c r="C31" s="19" t="s">
        <v>17</v>
      </c>
      <c r="D31" s="19" t="s">
        <v>15</v>
      </c>
      <c r="E31" s="18">
        <v>18.0</v>
      </c>
      <c r="F31" s="18">
        <v>25.0</v>
      </c>
      <c r="G31" s="20">
        <v>45293.0</v>
      </c>
      <c r="H31" s="21">
        <f t="shared" si="1"/>
        <v>450</v>
      </c>
      <c r="I31" s="21">
        <f t="shared" si="2"/>
        <v>450</v>
      </c>
    </row>
    <row r="32">
      <c r="A32" s="18">
        <v>1021.0</v>
      </c>
      <c r="B32" s="19" t="s">
        <v>49</v>
      </c>
      <c r="C32" s="19" t="s">
        <v>8</v>
      </c>
      <c r="D32" s="19" t="s">
        <v>9</v>
      </c>
      <c r="E32" s="18">
        <v>9.0</v>
      </c>
      <c r="F32" s="18">
        <v>50.0</v>
      </c>
      <c r="G32" s="20">
        <v>45324.0</v>
      </c>
      <c r="H32" s="21">
        <f t="shared" si="1"/>
        <v>450</v>
      </c>
      <c r="I32" s="21">
        <f t="shared" si="2"/>
        <v>450</v>
      </c>
    </row>
    <row r="33">
      <c r="A33" s="18">
        <v>1022.0</v>
      </c>
      <c r="B33" s="19" t="s">
        <v>50</v>
      </c>
      <c r="C33" s="19" t="s">
        <v>11</v>
      </c>
      <c r="D33" s="19" t="s">
        <v>19</v>
      </c>
      <c r="E33" s="18">
        <v>35.0</v>
      </c>
      <c r="F33" s="18">
        <v>5.0</v>
      </c>
      <c r="G33" s="20">
        <v>45353.0</v>
      </c>
      <c r="H33" s="21">
        <f t="shared" si="1"/>
        <v>175</v>
      </c>
      <c r="I33" s="21">
        <f t="shared" si="2"/>
        <v>175</v>
      </c>
    </row>
    <row r="34">
      <c r="A34" s="18">
        <v>1023.0</v>
      </c>
      <c r="B34" s="19" t="s">
        <v>51</v>
      </c>
      <c r="C34" s="19" t="s">
        <v>14</v>
      </c>
      <c r="D34" s="19" t="s">
        <v>22</v>
      </c>
      <c r="E34" s="18">
        <v>30.0</v>
      </c>
      <c r="F34" s="18">
        <v>8.0</v>
      </c>
      <c r="G34" s="20">
        <v>45384.0</v>
      </c>
      <c r="H34" s="21">
        <f t="shared" si="1"/>
        <v>240</v>
      </c>
      <c r="I34" s="21">
        <f t="shared" si="2"/>
        <v>240</v>
      </c>
    </row>
    <row r="35">
      <c r="A35" s="18">
        <v>1024.0</v>
      </c>
      <c r="B35" s="19" t="s">
        <v>52</v>
      </c>
      <c r="C35" s="19" t="s">
        <v>17</v>
      </c>
      <c r="D35" s="19" t="s">
        <v>9</v>
      </c>
      <c r="E35" s="18">
        <v>11.0</v>
      </c>
      <c r="F35" s="18">
        <v>50.0</v>
      </c>
      <c r="G35" s="20">
        <v>45445.0</v>
      </c>
      <c r="H35" s="21">
        <f t="shared" si="1"/>
        <v>550</v>
      </c>
      <c r="I35" s="21">
        <f t="shared" si="2"/>
        <v>550</v>
      </c>
    </row>
    <row r="36">
      <c r="A36" s="18">
        <v>1025.0</v>
      </c>
      <c r="B36" s="19" t="s">
        <v>53</v>
      </c>
      <c r="C36" s="19" t="s">
        <v>8</v>
      </c>
      <c r="D36" s="19" t="s">
        <v>12</v>
      </c>
      <c r="E36" s="18">
        <v>14.0</v>
      </c>
      <c r="F36" s="18">
        <v>10.0</v>
      </c>
      <c r="G36" s="20">
        <v>45475.0</v>
      </c>
      <c r="H36" s="21">
        <f t="shared" si="1"/>
        <v>140</v>
      </c>
      <c r="I36" s="21">
        <f t="shared" si="2"/>
        <v>140</v>
      </c>
    </row>
    <row r="37">
      <c r="A37" s="18">
        <v>1026.0</v>
      </c>
      <c r="B37" s="19" t="s">
        <v>54</v>
      </c>
      <c r="C37" s="19" t="s">
        <v>11</v>
      </c>
      <c r="D37" s="19" t="s">
        <v>15</v>
      </c>
      <c r="E37" s="18">
        <v>16.0</v>
      </c>
      <c r="F37" s="18">
        <v>25.0</v>
      </c>
      <c r="G37" s="20">
        <v>45506.0</v>
      </c>
      <c r="H37" s="21">
        <f t="shared" si="1"/>
        <v>400</v>
      </c>
      <c r="I37" s="21">
        <f t="shared" si="2"/>
        <v>400</v>
      </c>
    </row>
    <row r="38">
      <c r="A38" s="18">
        <v>1027.0</v>
      </c>
      <c r="B38" s="19" t="s">
        <v>55</v>
      </c>
      <c r="C38" s="19" t="s">
        <v>14</v>
      </c>
      <c r="D38" s="19" t="s">
        <v>19</v>
      </c>
      <c r="E38" s="18">
        <v>22.0</v>
      </c>
      <c r="F38" s="18">
        <v>5.0</v>
      </c>
      <c r="G38" s="20">
        <v>45537.0</v>
      </c>
      <c r="H38" s="21">
        <f t="shared" si="1"/>
        <v>110</v>
      </c>
      <c r="I38" s="21">
        <f t="shared" si="2"/>
        <v>110</v>
      </c>
    </row>
    <row r="39">
      <c r="A39" s="18">
        <v>1028.0</v>
      </c>
      <c r="B39" s="19" t="s">
        <v>56</v>
      </c>
      <c r="C39" s="19" t="s">
        <v>17</v>
      </c>
      <c r="D39" s="19" t="s">
        <v>22</v>
      </c>
      <c r="E39" s="18">
        <v>27.0</v>
      </c>
      <c r="F39" s="18">
        <v>8.0</v>
      </c>
      <c r="G39" s="20">
        <v>45567.0</v>
      </c>
      <c r="H39" s="21">
        <f t="shared" si="1"/>
        <v>216</v>
      </c>
      <c r="I39" s="21">
        <f t="shared" si="2"/>
        <v>216</v>
      </c>
    </row>
    <row r="40">
      <c r="A40" s="18">
        <v>1029.0</v>
      </c>
      <c r="B40" s="19" t="s">
        <v>57</v>
      </c>
      <c r="C40" s="19" t="s">
        <v>8</v>
      </c>
      <c r="D40" s="19" t="s">
        <v>9</v>
      </c>
      <c r="E40" s="18">
        <v>13.0</v>
      </c>
      <c r="F40" s="18">
        <v>50.0</v>
      </c>
      <c r="G40" s="20">
        <v>45628.0</v>
      </c>
      <c r="H40" s="21">
        <f t="shared" si="1"/>
        <v>650</v>
      </c>
      <c r="I40" s="21">
        <f t="shared" si="2"/>
        <v>650</v>
      </c>
    </row>
    <row r="41">
      <c r="A41" s="18">
        <v>1030.0</v>
      </c>
      <c r="B41" s="19" t="s">
        <v>58</v>
      </c>
      <c r="C41" s="19" t="s">
        <v>11</v>
      </c>
      <c r="D41" s="19" t="s">
        <v>12</v>
      </c>
      <c r="E41" s="18">
        <v>32.0</v>
      </c>
      <c r="F41" s="18">
        <v>10.0</v>
      </c>
      <c r="G41" s="18" t="s">
        <v>59</v>
      </c>
      <c r="H41" s="21">
        <f t="shared" si="1"/>
        <v>320</v>
      </c>
      <c r="I41" s="21">
        <f t="shared" si="2"/>
        <v>320</v>
      </c>
    </row>
    <row r="42">
      <c r="A42" s="18">
        <v>1031.0</v>
      </c>
      <c r="B42" s="19" t="s">
        <v>60</v>
      </c>
      <c r="C42" s="19" t="s">
        <v>14</v>
      </c>
      <c r="D42" s="19" t="s">
        <v>15</v>
      </c>
      <c r="E42" s="18">
        <v>10.0</v>
      </c>
      <c r="F42" s="18">
        <v>25.0</v>
      </c>
      <c r="G42" s="18" t="s">
        <v>61</v>
      </c>
      <c r="H42" s="21">
        <f t="shared" si="1"/>
        <v>250</v>
      </c>
      <c r="I42" s="21">
        <f t="shared" si="2"/>
        <v>250</v>
      </c>
    </row>
    <row r="43">
      <c r="A43" s="18">
        <v>1032.0</v>
      </c>
      <c r="B43" s="19" t="s">
        <v>62</v>
      </c>
      <c r="C43" s="19" t="s">
        <v>17</v>
      </c>
      <c r="D43" s="19" t="s">
        <v>19</v>
      </c>
      <c r="E43" s="18">
        <v>18.0</v>
      </c>
      <c r="F43" s="18">
        <v>5.0</v>
      </c>
      <c r="G43" s="18" t="s">
        <v>63</v>
      </c>
      <c r="H43" s="21">
        <f t="shared" si="1"/>
        <v>90</v>
      </c>
      <c r="I43" s="21">
        <f t="shared" si="2"/>
        <v>90</v>
      </c>
    </row>
    <row r="44">
      <c r="A44" s="18">
        <v>1033.0</v>
      </c>
      <c r="B44" s="19" t="s">
        <v>64</v>
      </c>
      <c r="C44" s="19" t="s">
        <v>8</v>
      </c>
      <c r="D44" s="19" t="s">
        <v>22</v>
      </c>
      <c r="E44" s="18">
        <v>22.0</v>
      </c>
      <c r="F44" s="18">
        <v>8.0</v>
      </c>
      <c r="G44" s="18" t="s">
        <v>65</v>
      </c>
      <c r="H44" s="21">
        <f t="shared" si="1"/>
        <v>176</v>
      </c>
      <c r="I44" s="21">
        <f t="shared" si="2"/>
        <v>176</v>
      </c>
    </row>
    <row r="45">
      <c r="A45" s="18">
        <v>1034.0</v>
      </c>
      <c r="B45" s="19" t="s">
        <v>66</v>
      </c>
      <c r="C45" s="19" t="s">
        <v>11</v>
      </c>
      <c r="D45" s="19" t="s">
        <v>9</v>
      </c>
      <c r="E45" s="18">
        <v>17.0</v>
      </c>
      <c r="F45" s="18">
        <v>50.0</v>
      </c>
      <c r="G45" s="18" t="s">
        <v>67</v>
      </c>
      <c r="H45" s="21">
        <f t="shared" si="1"/>
        <v>850</v>
      </c>
      <c r="I45" s="21">
        <f t="shared" si="2"/>
        <v>850</v>
      </c>
    </row>
    <row r="46">
      <c r="A46" s="18">
        <v>1035.0</v>
      </c>
      <c r="B46" s="19" t="s">
        <v>68</v>
      </c>
      <c r="C46" s="19" t="s">
        <v>14</v>
      </c>
      <c r="D46" s="19" t="s">
        <v>12</v>
      </c>
      <c r="E46" s="18">
        <v>19.0</v>
      </c>
      <c r="F46" s="18">
        <v>10.0</v>
      </c>
      <c r="G46" s="18" t="s">
        <v>69</v>
      </c>
      <c r="H46" s="21">
        <f t="shared" si="1"/>
        <v>190</v>
      </c>
      <c r="I46" s="21">
        <f t="shared" si="2"/>
        <v>190</v>
      </c>
    </row>
    <row r="47">
      <c r="A47" s="18">
        <v>1036.0</v>
      </c>
      <c r="B47" s="19" t="s">
        <v>70</v>
      </c>
      <c r="C47" s="19" t="s">
        <v>17</v>
      </c>
      <c r="D47" s="19" t="s">
        <v>15</v>
      </c>
      <c r="E47" s="18">
        <v>15.0</v>
      </c>
      <c r="F47" s="18">
        <v>25.0</v>
      </c>
      <c r="G47" s="18" t="s">
        <v>71</v>
      </c>
      <c r="H47" s="21">
        <f t="shared" si="1"/>
        <v>375</v>
      </c>
      <c r="I47" s="21">
        <f t="shared" si="2"/>
        <v>375</v>
      </c>
    </row>
    <row r="48">
      <c r="A48" s="18">
        <v>1037.0</v>
      </c>
      <c r="B48" s="19" t="s">
        <v>72</v>
      </c>
      <c r="C48" s="19" t="s">
        <v>8</v>
      </c>
      <c r="D48" s="19" t="s">
        <v>19</v>
      </c>
      <c r="E48" s="18">
        <v>28.0</v>
      </c>
      <c r="F48" s="18">
        <v>5.0</v>
      </c>
      <c r="G48" s="18" t="s">
        <v>73</v>
      </c>
      <c r="H48" s="21">
        <f t="shared" si="1"/>
        <v>140</v>
      </c>
      <c r="I48" s="21">
        <f t="shared" si="2"/>
        <v>140</v>
      </c>
    </row>
    <row r="49">
      <c r="A49" s="18">
        <v>1038.0</v>
      </c>
      <c r="B49" s="19" t="s">
        <v>74</v>
      </c>
      <c r="C49" s="19" t="s">
        <v>11</v>
      </c>
      <c r="D49" s="19" t="s">
        <v>22</v>
      </c>
      <c r="E49" s="18">
        <v>24.0</v>
      </c>
      <c r="F49" s="18">
        <v>8.0</v>
      </c>
      <c r="G49" s="18" t="s">
        <v>75</v>
      </c>
      <c r="H49" s="21">
        <f t="shared" si="1"/>
        <v>192</v>
      </c>
      <c r="I49" s="21">
        <f t="shared" si="2"/>
        <v>192</v>
      </c>
    </row>
    <row r="50">
      <c r="A50" s="18">
        <v>1039.0</v>
      </c>
      <c r="B50" s="19" t="s">
        <v>76</v>
      </c>
      <c r="C50" s="19" t="s">
        <v>14</v>
      </c>
      <c r="D50" s="19" t="s">
        <v>9</v>
      </c>
      <c r="E50" s="18">
        <v>16.0</v>
      </c>
      <c r="F50" s="18">
        <v>50.0</v>
      </c>
      <c r="G50" s="18" t="s">
        <v>77</v>
      </c>
      <c r="H50" s="21">
        <f t="shared" si="1"/>
        <v>800</v>
      </c>
      <c r="I50" s="21">
        <f t="shared" si="2"/>
        <v>800</v>
      </c>
    </row>
    <row r="51">
      <c r="A51" s="18">
        <v>1040.0</v>
      </c>
      <c r="B51" s="19" t="s">
        <v>78</v>
      </c>
      <c r="C51" s="19" t="s">
        <v>17</v>
      </c>
      <c r="D51" s="19" t="s">
        <v>12</v>
      </c>
      <c r="E51" s="18">
        <v>27.0</v>
      </c>
      <c r="F51" s="18">
        <v>10.0</v>
      </c>
      <c r="G51" s="18" t="s">
        <v>79</v>
      </c>
      <c r="H51" s="21">
        <f t="shared" si="1"/>
        <v>270</v>
      </c>
      <c r="I51" s="21">
        <f t="shared" si="2"/>
        <v>270</v>
      </c>
    </row>
    <row r="52">
      <c r="A52" s="18">
        <v>1041.0</v>
      </c>
      <c r="B52" s="19" t="s">
        <v>80</v>
      </c>
      <c r="C52" s="19" t="s">
        <v>8</v>
      </c>
      <c r="D52" s="19" t="s">
        <v>15</v>
      </c>
      <c r="E52" s="18">
        <v>21.0</v>
      </c>
      <c r="F52" s="18">
        <v>25.0</v>
      </c>
      <c r="G52" s="18" t="s">
        <v>81</v>
      </c>
      <c r="H52" s="21">
        <f t="shared" si="1"/>
        <v>525</v>
      </c>
      <c r="I52" s="21">
        <f t="shared" si="2"/>
        <v>525</v>
      </c>
    </row>
    <row r="53">
      <c r="A53" s="18">
        <v>1042.0</v>
      </c>
      <c r="B53" s="19" t="s">
        <v>82</v>
      </c>
      <c r="C53" s="19" t="s">
        <v>11</v>
      </c>
      <c r="D53" s="19" t="s">
        <v>19</v>
      </c>
      <c r="E53" s="18">
        <v>30.0</v>
      </c>
      <c r="F53" s="18">
        <v>5.0</v>
      </c>
      <c r="G53" s="18" t="s">
        <v>83</v>
      </c>
      <c r="H53" s="21">
        <f t="shared" si="1"/>
        <v>150</v>
      </c>
      <c r="I53" s="21">
        <f t="shared" si="2"/>
        <v>150</v>
      </c>
    </row>
    <row r="54">
      <c r="A54" s="18">
        <v>1043.0</v>
      </c>
      <c r="B54" s="19" t="s">
        <v>84</v>
      </c>
      <c r="C54" s="19" t="s">
        <v>14</v>
      </c>
      <c r="D54" s="19" t="s">
        <v>22</v>
      </c>
      <c r="E54" s="18">
        <v>26.0</v>
      </c>
      <c r="F54" s="18">
        <v>8.0</v>
      </c>
      <c r="G54" s="20">
        <v>45294.0</v>
      </c>
      <c r="H54" s="21">
        <f t="shared" si="1"/>
        <v>208</v>
      </c>
      <c r="I54" s="21">
        <f t="shared" si="2"/>
        <v>208</v>
      </c>
    </row>
    <row r="55">
      <c r="A55" s="18">
        <v>1044.0</v>
      </c>
      <c r="B55" s="19" t="s">
        <v>85</v>
      </c>
      <c r="C55" s="19" t="s">
        <v>17</v>
      </c>
      <c r="D55" s="19" t="s">
        <v>9</v>
      </c>
      <c r="E55" s="18">
        <v>14.0</v>
      </c>
      <c r="F55" s="18">
        <v>50.0</v>
      </c>
      <c r="G55" s="20">
        <v>45325.0</v>
      </c>
      <c r="H55" s="21">
        <f t="shared" si="1"/>
        <v>700</v>
      </c>
      <c r="I55" s="21">
        <f t="shared" si="2"/>
        <v>700</v>
      </c>
    </row>
    <row r="56">
      <c r="A56" s="18">
        <v>1045.0</v>
      </c>
      <c r="B56" s="19" t="s">
        <v>86</v>
      </c>
      <c r="C56" s="19" t="s">
        <v>8</v>
      </c>
      <c r="D56" s="19" t="s">
        <v>12</v>
      </c>
      <c r="E56" s="18">
        <v>20.0</v>
      </c>
      <c r="F56" s="18">
        <v>10.0</v>
      </c>
      <c r="G56" s="20">
        <v>45354.0</v>
      </c>
      <c r="H56" s="21">
        <f t="shared" si="1"/>
        <v>200</v>
      </c>
      <c r="I56" s="21">
        <f t="shared" si="2"/>
        <v>200</v>
      </c>
    </row>
    <row r="57">
      <c r="A57" s="18">
        <v>1046.0</v>
      </c>
      <c r="B57" s="19" t="s">
        <v>87</v>
      </c>
      <c r="C57" s="19" t="s">
        <v>11</v>
      </c>
      <c r="D57" s="19" t="s">
        <v>15</v>
      </c>
      <c r="E57" s="18">
        <v>17.0</v>
      </c>
      <c r="F57" s="18">
        <v>25.0</v>
      </c>
      <c r="G57" s="20">
        <v>45385.0</v>
      </c>
      <c r="H57" s="21">
        <f t="shared" si="1"/>
        <v>425</v>
      </c>
      <c r="I57" s="21">
        <f t="shared" si="2"/>
        <v>425</v>
      </c>
    </row>
    <row r="58">
      <c r="A58" s="18">
        <v>1047.0</v>
      </c>
      <c r="B58" s="19" t="s">
        <v>88</v>
      </c>
      <c r="C58" s="19" t="s">
        <v>14</v>
      </c>
      <c r="D58" s="19" t="s">
        <v>19</v>
      </c>
      <c r="E58" s="18">
        <v>19.0</v>
      </c>
      <c r="F58" s="18">
        <v>5.0</v>
      </c>
      <c r="G58" s="20">
        <v>45415.0</v>
      </c>
      <c r="H58" s="21">
        <f t="shared" si="1"/>
        <v>95</v>
      </c>
      <c r="I58" s="21">
        <f t="shared" si="2"/>
        <v>95</v>
      </c>
    </row>
    <row r="59">
      <c r="A59" s="18">
        <v>1048.0</v>
      </c>
      <c r="B59" s="19" t="s">
        <v>89</v>
      </c>
      <c r="C59" s="19" t="s">
        <v>17</v>
      </c>
      <c r="D59" s="19" t="s">
        <v>22</v>
      </c>
      <c r="E59" s="18">
        <v>32.0</v>
      </c>
      <c r="F59" s="18">
        <v>8.0</v>
      </c>
      <c r="G59" s="20">
        <v>45446.0</v>
      </c>
      <c r="H59" s="21">
        <f t="shared" si="1"/>
        <v>256</v>
      </c>
      <c r="I59" s="21">
        <f t="shared" si="2"/>
        <v>256</v>
      </c>
    </row>
    <row r="60">
      <c r="A60" s="18">
        <v>1049.0</v>
      </c>
      <c r="B60" s="19" t="s">
        <v>90</v>
      </c>
      <c r="C60" s="19" t="s">
        <v>8</v>
      </c>
      <c r="D60" s="19" t="s">
        <v>9</v>
      </c>
      <c r="E60" s="18">
        <v>12.0</v>
      </c>
      <c r="F60" s="18">
        <v>50.0</v>
      </c>
      <c r="G60" s="20">
        <v>45476.0</v>
      </c>
      <c r="H60" s="21">
        <f t="shared" si="1"/>
        <v>600</v>
      </c>
      <c r="I60" s="21">
        <f t="shared" si="2"/>
        <v>600</v>
      </c>
    </row>
    <row r="61">
      <c r="A61" s="18">
        <v>1050.0</v>
      </c>
      <c r="B61" s="19" t="s">
        <v>91</v>
      </c>
      <c r="C61" s="19" t="s">
        <v>11</v>
      </c>
      <c r="D61" s="19" t="s">
        <v>12</v>
      </c>
      <c r="E61" s="18">
        <v>25.0</v>
      </c>
      <c r="F61" s="18">
        <v>10.0</v>
      </c>
      <c r="G61" s="20">
        <v>45507.0</v>
      </c>
      <c r="H61" s="21">
        <f t="shared" si="1"/>
        <v>250</v>
      </c>
      <c r="I61" s="21">
        <f t="shared" si="2"/>
        <v>250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131</v>
      </c>
    </row>
    <row r="2">
      <c r="A2" s="1"/>
      <c r="B2" s="1"/>
      <c r="C2" s="1"/>
      <c r="D2" s="1"/>
      <c r="E2" s="7"/>
    </row>
    <row r="3">
      <c r="A3" s="22" t="s">
        <v>132</v>
      </c>
      <c r="B3" s="1"/>
      <c r="C3" s="1"/>
      <c r="D3" s="1"/>
      <c r="E3" s="7"/>
    </row>
    <row r="4">
      <c r="A4" s="22" t="s">
        <v>133</v>
      </c>
      <c r="B4" s="1"/>
      <c r="C4" s="1"/>
      <c r="D4" s="1"/>
      <c r="E4" s="7"/>
    </row>
    <row r="5">
      <c r="A5" s="22" t="s">
        <v>134</v>
      </c>
      <c r="B5" s="1"/>
      <c r="C5" s="1"/>
      <c r="D5" s="1"/>
      <c r="E5" s="7"/>
    </row>
    <row r="6">
      <c r="A6" s="1"/>
      <c r="B6" s="1"/>
      <c r="C6" s="1"/>
      <c r="D6" s="1"/>
      <c r="E6" s="7"/>
    </row>
    <row r="7">
      <c r="A7" s="1" t="s">
        <v>2</v>
      </c>
      <c r="B7" s="1" t="s">
        <v>3</v>
      </c>
      <c r="C7" s="1" t="s">
        <v>4</v>
      </c>
      <c r="D7" s="1" t="s">
        <v>5</v>
      </c>
      <c r="E7" s="7" t="s">
        <v>135</v>
      </c>
      <c r="G7" s="10" t="s">
        <v>136</v>
      </c>
    </row>
    <row r="8">
      <c r="A8" s="3" t="s">
        <v>8</v>
      </c>
      <c r="B8" s="3" t="s">
        <v>9</v>
      </c>
      <c r="C8" s="2">
        <v>10.0</v>
      </c>
      <c r="D8" s="2">
        <v>50.0</v>
      </c>
      <c r="E8" s="23">
        <f t="shared" ref="E8:E57" si="1">C8*D8</f>
        <v>500</v>
      </c>
      <c r="G8" s="24">
        <f>SUMIFS($E$8:$E$57,$B$8:$B$57,"Notebook",$A$8:$A$57,"North")</f>
        <v>2900</v>
      </c>
      <c r="H8" s="24">
        <f>SUMIFS($E$8:$E$57,$B$8:$B$57,$B$8,$A$8:$A$57,$A$8)</f>
        <v>2900</v>
      </c>
    </row>
    <row r="9">
      <c r="A9" s="3" t="s">
        <v>11</v>
      </c>
      <c r="B9" s="3" t="s">
        <v>12</v>
      </c>
      <c r="C9" s="2">
        <v>20.0</v>
      </c>
      <c r="D9" s="2">
        <v>10.0</v>
      </c>
      <c r="E9" s="23">
        <f t="shared" si="1"/>
        <v>200</v>
      </c>
    </row>
    <row r="10">
      <c r="A10" s="3" t="s">
        <v>14</v>
      </c>
      <c r="B10" s="3" t="s">
        <v>15</v>
      </c>
      <c r="C10" s="2">
        <v>15.0</v>
      </c>
      <c r="D10" s="2">
        <v>25.0</v>
      </c>
      <c r="E10" s="23">
        <f t="shared" si="1"/>
        <v>375</v>
      </c>
    </row>
    <row r="11">
      <c r="A11" s="3" t="s">
        <v>17</v>
      </c>
      <c r="B11" s="3" t="s">
        <v>9</v>
      </c>
      <c r="C11" s="2">
        <v>5.0</v>
      </c>
      <c r="D11" s="2">
        <v>50.0</v>
      </c>
      <c r="E11" s="23">
        <f t="shared" si="1"/>
        <v>250</v>
      </c>
    </row>
    <row r="12">
      <c r="A12" s="3" t="s">
        <v>8</v>
      </c>
      <c r="B12" s="3" t="s">
        <v>19</v>
      </c>
      <c r="C12" s="2">
        <v>30.0</v>
      </c>
      <c r="D12" s="2">
        <v>5.0</v>
      </c>
      <c r="E12" s="23">
        <f t="shared" si="1"/>
        <v>150</v>
      </c>
    </row>
    <row r="13">
      <c r="A13" s="3" t="s">
        <v>11</v>
      </c>
      <c r="B13" s="3" t="s">
        <v>9</v>
      </c>
      <c r="C13" s="2">
        <v>12.0</v>
      </c>
      <c r="D13" s="2">
        <v>50.0</v>
      </c>
      <c r="E13" s="23">
        <f t="shared" si="1"/>
        <v>600</v>
      </c>
    </row>
    <row r="14">
      <c r="A14" s="3" t="s">
        <v>14</v>
      </c>
      <c r="B14" s="3" t="s">
        <v>22</v>
      </c>
      <c r="C14" s="2">
        <v>25.0</v>
      </c>
      <c r="D14" s="2">
        <v>8.0</v>
      </c>
      <c r="E14" s="23">
        <f t="shared" si="1"/>
        <v>200</v>
      </c>
    </row>
    <row r="15">
      <c r="A15" s="3" t="s">
        <v>17</v>
      </c>
      <c r="B15" s="3" t="s">
        <v>12</v>
      </c>
      <c r="C15" s="2">
        <v>18.0</v>
      </c>
      <c r="D15" s="2">
        <v>10.0</v>
      </c>
      <c r="E15" s="23">
        <f t="shared" si="1"/>
        <v>180</v>
      </c>
    </row>
    <row r="16">
      <c r="A16" s="3" t="s">
        <v>8</v>
      </c>
      <c r="B16" s="3" t="s">
        <v>15</v>
      </c>
      <c r="C16" s="2">
        <v>22.0</v>
      </c>
      <c r="D16" s="2">
        <v>25.0</v>
      </c>
      <c r="E16" s="23">
        <f t="shared" si="1"/>
        <v>550</v>
      </c>
    </row>
    <row r="17">
      <c r="A17" s="3" t="s">
        <v>11</v>
      </c>
      <c r="B17" s="3" t="s">
        <v>9</v>
      </c>
      <c r="C17" s="2">
        <v>8.0</v>
      </c>
      <c r="D17" s="2">
        <v>50.0</v>
      </c>
      <c r="E17" s="23">
        <f t="shared" si="1"/>
        <v>400</v>
      </c>
    </row>
    <row r="18">
      <c r="A18" s="3" t="s">
        <v>14</v>
      </c>
      <c r="B18" s="3" t="s">
        <v>19</v>
      </c>
      <c r="C18" s="2">
        <v>40.0</v>
      </c>
      <c r="D18" s="2">
        <v>5.0</v>
      </c>
      <c r="E18" s="23">
        <f t="shared" si="1"/>
        <v>200</v>
      </c>
    </row>
    <row r="19">
      <c r="A19" s="3" t="s">
        <v>17</v>
      </c>
      <c r="B19" s="3" t="s">
        <v>22</v>
      </c>
      <c r="C19" s="2">
        <v>35.0</v>
      </c>
      <c r="D19" s="2">
        <v>8.0</v>
      </c>
      <c r="E19" s="23">
        <f t="shared" si="1"/>
        <v>280</v>
      </c>
    </row>
    <row r="20">
      <c r="A20" s="3" t="s">
        <v>8</v>
      </c>
      <c r="B20" s="3" t="s">
        <v>9</v>
      </c>
      <c r="C20" s="2">
        <v>14.0</v>
      </c>
      <c r="D20" s="2">
        <v>50.0</v>
      </c>
      <c r="E20" s="23">
        <f t="shared" si="1"/>
        <v>700</v>
      </c>
    </row>
    <row r="21">
      <c r="A21" s="3" t="s">
        <v>11</v>
      </c>
      <c r="B21" s="3" t="s">
        <v>12</v>
      </c>
      <c r="C21" s="2">
        <v>28.0</v>
      </c>
      <c r="D21" s="2">
        <v>10.0</v>
      </c>
      <c r="E21" s="23">
        <f t="shared" si="1"/>
        <v>280</v>
      </c>
    </row>
    <row r="22">
      <c r="A22" s="3" t="s">
        <v>14</v>
      </c>
      <c r="B22" s="3" t="s">
        <v>15</v>
      </c>
      <c r="C22" s="2">
        <v>12.0</v>
      </c>
      <c r="D22" s="2">
        <v>25.0</v>
      </c>
      <c r="E22" s="23">
        <f t="shared" si="1"/>
        <v>300</v>
      </c>
    </row>
    <row r="23">
      <c r="A23" s="3" t="s">
        <v>17</v>
      </c>
      <c r="B23" s="3" t="s">
        <v>19</v>
      </c>
      <c r="C23" s="2">
        <v>25.0</v>
      </c>
      <c r="D23" s="2">
        <v>5.0</v>
      </c>
      <c r="E23" s="23">
        <f t="shared" si="1"/>
        <v>125</v>
      </c>
    </row>
    <row r="24">
      <c r="A24" s="3" t="s">
        <v>8</v>
      </c>
      <c r="B24" s="3" t="s">
        <v>22</v>
      </c>
      <c r="C24" s="2">
        <v>20.0</v>
      </c>
      <c r="D24" s="2">
        <v>8.0</v>
      </c>
      <c r="E24" s="23">
        <f t="shared" si="1"/>
        <v>160</v>
      </c>
    </row>
    <row r="25">
      <c r="A25" s="3" t="s">
        <v>11</v>
      </c>
      <c r="B25" s="3" t="s">
        <v>9</v>
      </c>
      <c r="C25" s="2">
        <v>10.0</v>
      </c>
      <c r="D25" s="2">
        <v>50.0</v>
      </c>
      <c r="E25" s="23">
        <f t="shared" si="1"/>
        <v>500</v>
      </c>
    </row>
    <row r="26">
      <c r="A26" s="3" t="s">
        <v>14</v>
      </c>
      <c r="B26" s="3" t="s">
        <v>12</v>
      </c>
      <c r="C26" s="2">
        <v>15.0</v>
      </c>
      <c r="D26" s="2">
        <v>10.0</v>
      </c>
      <c r="E26" s="23">
        <f t="shared" si="1"/>
        <v>150</v>
      </c>
    </row>
    <row r="27">
      <c r="A27" s="3" t="s">
        <v>17</v>
      </c>
      <c r="B27" s="3" t="s">
        <v>15</v>
      </c>
      <c r="C27" s="2">
        <v>18.0</v>
      </c>
      <c r="D27" s="2">
        <v>25.0</v>
      </c>
      <c r="E27" s="23">
        <f t="shared" si="1"/>
        <v>450</v>
      </c>
    </row>
    <row r="28">
      <c r="A28" s="3" t="s">
        <v>8</v>
      </c>
      <c r="B28" s="3" t="s">
        <v>9</v>
      </c>
      <c r="C28" s="2">
        <v>9.0</v>
      </c>
      <c r="D28" s="2">
        <v>50.0</v>
      </c>
      <c r="E28" s="23">
        <f t="shared" si="1"/>
        <v>450</v>
      </c>
    </row>
    <row r="29">
      <c r="A29" s="3" t="s">
        <v>11</v>
      </c>
      <c r="B29" s="3" t="s">
        <v>19</v>
      </c>
      <c r="C29" s="2">
        <v>35.0</v>
      </c>
      <c r="D29" s="2">
        <v>5.0</v>
      </c>
      <c r="E29" s="23">
        <f t="shared" si="1"/>
        <v>175</v>
      </c>
    </row>
    <row r="30">
      <c r="A30" s="3" t="s">
        <v>14</v>
      </c>
      <c r="B30" s="3" t="s">
        <v>22</v>
      </c>
      <c r="C30" s="2">
        <v>30.0</v>
      </c>
      <c r="D30" s="2">
        <v>8.0</v>
      </c>
      <c r="E30" s="23">
        <f t="shared" si="1"/>
        <v>240</v>
      </c>
    </row>
    <row r="31">
      <c r="A31" s="3" t="s">
        <v>17</v>
      </c>
      <c r="B31" s="3" t="s">
        <v>9</v>
      </c>
      <c r="C31" s="2">
        <v>11.0</v>
      </c>
      <c r="D31" s="2">
        <v>50.0</v>
      </c>
      <c r="E31" s="23">
        <f t="shared" si="1"/>
        <v>550</v>
      </c>
    </row>
    <row r="32">
      <c r="A32" s="3" t="s">
        <v>8</v>
      </c>
      <c r="B32" s="3" t="s">
        <v>12</v>
      </c>
      <c r="C32" s="2">
        <v>14.0</v>
      </c>
      <c r="D32" s="2">
        <v>10.0</v>
      </c>
      <c r="E32" s="23">
        <f t="shared" si="1"/>
        <v>140</v>
      </c>
    </row>
    <row r="33">
      <c r="A33" s="3" t="s">
        <v>11</v>
      </c>
      <c r="B33" s="3" t="s">
        <v>15</v>
      </c>
      <c r="C33" s="2">
        <v>16.0</v>
      </c>
      <c r="D33" s="2">
        <v>25.0</v>
      </c>
      <c r="E33" s="23">
        <f t="shared" si="1"/>
        <v>400</v>
      </c>
    </row>
    <row r="34">
      <c r="A34" s="3" t="s">
        <v>14</v>
      </c>
      <c r="B34" s="3" t="s">
        <v>19</v>
      </c>
      <c r="C34" s="2">
        <v>22.0</v>
      </c>
      <c r="D34" s="2">
        <v>5.0</v>
      </c>
      <c r="E34" s="23">
        <f t="shared" si="1"/>
        <v>110</v>
      </c>
    </row>
    <row r="35">
      <c r="A35" s="3" t="s">
        <v>17</v>
      </c>
      <c r="B35" s="3" t="s">
        <v>22</v>
      </c>
      <c r="C35" s="2">
        <v>27.0</v>
      </c>
      <c r="D35" s="2">
        <v>8.0</v>
      </c>
      <c r="E35" s="23">
        <f t="shared" si="1"/>
        <v>216</v>
      </c>
    </row>
    <row r="36">
      <c r="A36" s="3" t="s">
        <v>8</v>
      </c>
      <c r="B36" s="3" t="s">
        <v>9</v>
      </c>
      <c r="C36" s="2">
        <v>13.0</v>
      </c>
      <c r="D36" s="2">
        <v>50.0</v>
      </c>
      <c r="E36" s="23">
        <f t="shared" si="1"/>
        <v>650</v>
      </c>
    </row>
    <row r="37">
      <c r="A37" s="3" t="s">
        <v>11</v>
      </c>
      <c r="B37" s="3" t="s">
        <v>12</v>
      </c>
      <c r="C37" s="2">
        <v>32.0</v>
      </c>
      <c r="D37" s="2">
        <v>10.0</v>
      </c>
      <c r="E37" s="23">
        <f t="shared" si="1"/>
        <v>320</v>
      </c>
    </row>
    <row r="38">
      <c r="A38" s="3" t="s">
        <v>14</v>
      </c>
      <c r="B38" s="3" t="s">
        <v>15</v>
      </c>
      <c r="C38" s="2">
        <v>10.0</v>
      </c>
      <c r="D38" s="2">
        <v>25.0</v>
      </c>
      <c r="E38" s="23">
        <f t="shared" si="1"/>
        <v>250</v>
      </c>
    </row>
    <row r="39">
      <c r="A39" s="3" t="s">
        <v>17</v>
      </c>
      <c r="B39" s="3" t="s">
        <v>19</v>
      </c>
      <c r="C39" s="2">
        <v>18.0</v>
      </c>
      <c r="D39" s="2">
        <v>5.0</v>
      </c>
      <c r="E39" s="23">
        <f t="shared" si="1"/>
        <v>90</v>
      </c>
    </row>
    <row r="40">
      <c r="A40" s="3" t="s">
        <v>8</v>
      </c>
      <c r="B40" s="3" t="s">
        <v>22</v>
      </c>
      <c r="C40" s="2">
        <v>22.0</v>
      </c>
      <c r="D40" s="2">
        <v>8.0</v>
      </c>
      <c r="E40" s="23">
        <f t="shared" si="1"/>
        <v>176</v>
      </c>
    </row>
    <row r="41">
      <c r="A41" s="3" t="s">
        <v>11</v>
      </c>
      <c r="B41" s="3" t="s">
        <v>9</v>
      </c>
      <c r="C41" s="2">
        <v>17.0</v>
      </c>
      <c r="D41" s="2">
        <v>50.0</v>
      </c>
      <c r="E41" s="23">
        <f t="shared" si="1"/>
        <v>850</v>
      </c>
    </row>
    <row r="42">
      <c r="A42" s="3" t="s">
        <v>14</v>
      </c>
      <c r="B42" s="3" t="s">
        <v>12</v>
      </c>
      <c r="C42" s="2">
        <v>19.0</v>
      </c>
      <c r="D42" s="2">
        <v>10.0</v>
      </c>
      <c r="E42" s="23">
        <f t="shared" si="1"/>
        <v>190</v>
      </c>
    </row>
    <row r="43">
      <c r="A43" s="3" t="s">
        <v>17</v>
      </c>
      <c r="B43" s="3" t="s">
        <v>15</v>
      </c>
      <c r="C43" s="2">
        <v>15.0</v>
      </c>
      <c r="D43" s="2">
        <v>25.0</v>
      </c>
      <c r="E43" s="23">
        <f t="shared" si="1"/>
        <v>375</v>
      </c>
    </row>
    <row r="44">
      <c r="A44" s="3" t="s">
        <v>8</v>
      </c>
      <c r="B44" s="3" t="s">
        <v>19</v>
      </c>
      <c r="C44" s="2">
        <v>28.0</v>
      </c>
      <c r="D44" s="2">
        <v>5.0</v>
      </c>
      <c r="E44" s="23">
        <f t="shared" si="1"/>
        <v>140</v>
      </c>
    </row>
    <row r="45">
      <c r="A45" s="3" t="s">
        <v>11</v>
      </c>
      <c r="B45" s="3" t="s">
        <v>22</v>
      </c>
      <c r="C45" s="2">
        <v>24.0</v>
      </c>
      <c r="D45" s="2">
        <v>8.0</v>
      </c>
      <c r="E45" s="23">
        <f t="shared" si="1"/>
        <v>192</v>
      </c>
    </row>
    <row r="46">
      <c r="A46" s="3" t="s">
        <v>14</v>
      </c>
      <c r="B46" s="3" t="s">
        <v>9</v>
      </c>
      <c r="C46" s="2">
        <v>16.0</v>
      </c>
      <c r="D46" s="2">
        <v>50.0</v>
      </c>
      <c r="E46" s="23">
        <f t="shared" si="1"/>
        <v>800</v>
      </c>
    </row>
    <row r="47">
      <c r="A47" s="3" t="s">
        <v>17</v>
      </c>
      <c r="B47" s="3" t="s">
        <v>12</v>
      </c>
      <c r="C47" s="2">
        <v>27.0</v>
      </c>
      <c r="D47" s="2">
        <v>10.0</v>
      </c>
      <c r="E47" s="23">
        <f t="shared" si="1"/>
        <v>270</v>
      </c>
    </row>
    <row r="48">
      <c r="A48" s="3" t="s">
        <v>8</v>
      </c>
      <c r="B48" s="3" t="s">
        <v>15</v>
      </c>
      <c r="C48" s="2">
        <v>21.0</v>
      </c>
      <c r="D48" s="2">
        <v>25.0</v>
      </c>
      <c r="E48" s="23">
        <f t="shared" si="1"/>
        <v>525</v>
      </c>
    </row>
    <row r="49">
      <c r="A49" s="3" t="s">
        <v>11</v>
      </c>
      <c r="B49" s="3" t="s">
        <v>19</v>
      </c>
      <c r="C49" s="2">
        <v>30.0</v>
      </c>
      <c r="D49" s="2">
        <v>5.0</v>
      </c>
      <c r="E49" s="23">
        <f t="shared" si="1"/>
        <v>150</v>
      </c>
    </row>
    <row r="50">
      <c r="A50" s="3" t="s">
        <v>14</v>
      </c>
      <c r="B50" s="3" t="s">
        <v>22</v>
      </c>
      <c r="C50" s="2">
        <v>26.0</v>
      </c>
      <c r="D50" s="2">
        <v>8.0</v>
      </c>
      <c r="E50" s="23">
        <f t="shared" si="1"/>
        <v>208</v>
      </c>
    </row>
    <row r="51">
      <c r="A51" s="3" t="s">
        <v>17</v>
      </c>
      <c r="B51" s="3" t="s">
        <v>9</v>
      </c>
      <c r="C51" s="2">
        <v>14.0</v>
      </c>
      <c r="D51" s="2">
        <v>50.0</v>
      </c>
      <c r="E51" s="23">
        <f t="shared" si="1"/>
        <v>700</v>
      </c>
    </row>
    <row r="52">
      <c r="A52" s="3" t="s">
        <v>8</v>
      </c>
      <c r="B52" s="3" t="s">
        <v>12</v>
      </c>
      <c r="C52" s="2">
        <v>20.0</v>
      </c>
      <c r="D52" s="2">
        <v>10.0</v>
      </c>
      <c r="E52" s="23">
        <f t="shared" si="1"/>
        <v>200</v>
      </c>
    </row>
    <row r="53">
      <c r="A53" s="3" t="s">
        <v>11</v>
      </c>
      <c r="B53" s="3" t="s">
        <v>15</v>
      </c>
      <c r="C53" s="2">
        <v>17.0</v>
      </c>
      <c r="D53" s="2">
        <v>25.0</v>
      </c>
      <c r="E53" s="23">
        <f t="shared" si="1"/>
        <v>425</v>
      </c>
    </row>
    <row r="54">
      <c r="A54" s="3" t="s">
        <v>14</v>
      </c>
      <c r="B54" s="3" t="s">
        <v>19</v>
      </c>
      <c r="C54" s="2">
        <v>19.0</v>
      </c>
      <c r="D54" s="2">
        <v>5.0</v>
      </c>
      <c r="E54" s="23">
        <f t="shared" si="1"/>
        <v>95</v>
      </c>
    </row>
    <row r="55">
      <c r="A55" s="3" t="s">
        <v>17</v>
      </c>
      <c r="B55" s="3" t="s">
        <v>22</v>
      </c>
      <c r="C55" s="2">
        <v>32.0</v>
      </c>
      <c r="D55" s="2">
        <v>8.0</v>
      </c>
      <c r="E55" s="23">
        <f t="shared" si="1"/>
        <v>256</v>
      </c>
    </row>
    <row r="56">
      <c r="A56" s="3" t="s">
        <v>8</v>
      </c>
      <c r="B56" s="3" t="s">
        <v>9</v>
      </c>
      <c r="C56" s="2">
        <v>12.0</v>
      </c>
      <c r="D56" s="2">
        <v>50.0</v>
      </c>
      <c r="E56" s="23">
        <f t="shared" si="1"/>
        <v>600</v>
      </c>
    </row>
    <row r="57">
      <c r="A57" s="3" t="s">
        <v>11</v>
      </c>
      <c r="B57" s="3" t="s">
        <v>12</v>
      </c>
      <c r="C57" s="2">
        <v>25.0</v>
      </c>
      <c r="D57" s="2">
        <v>10.0</v>
      </c>
      <c r="E57" s="23">
        <f t="shared" si="1"/>
        <v>250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137</v>
      </c>
      <c r="B1" s="8" t="s">
        <v>138</v>
      </c>
    </row>
    <row r="2">
      <c r="B2" s="1"/>
      <c r="C2" s="1"/>
      <c r="D2" s="1"/>
      <c r="E2" s="1"/>
      <c r="F2" s="1"/>
      <c r="G2" s="1"/>
      <c r="H2" s="1"/>
    </row>
    <row r="3">
      <c r="A3" s="22" t="s">
        <v>93</v>
      </c>
      <c r="B3" s="1"/>
      <c r="C3" s="1"/>
      <c r="D3" s="1"/>
      <c r="E3" s="1"/>
      <c r="F3" s="1"/>
      <c r="G3" s="22"/>
      <c r="H3" s="1"/>
      <c r="J3" s="1"/>
      <c r="K3" s="7"/>
    </row>
    <row r="4">
      <c r="A4" s="22" t="s">
        <v>139</v>
      </c>
      <c r="B4" s="1"/>
      <c r="C4" s="1"/>
      <c r="D4" s="1"/>
      <c r="E4" s="1"/>
      <c r="F4" s="1"/>
      <c r="G4" s="22"/>
      <c r="H4" s="1"/>
      <c r="J4" s="1"/>
      <c r="K4" s="7"/>
    </row>
    <row r="5">
      <c r="A5" s="22" t="s">
        <v>140</v>
      </c>
      <c r="B5" s="1"/>
      <c r="C5" s="1"/>
      <c r="D5" s="1"/>
      <c r="E5" s="1"/>
      <c r="F5" s="1"/>
      <c r="G5" s="22"/>
      <c r="H5" s="1"/>
      <c r="J5" s="1"/>
      <c r="K5" s="7"/>
    </row>
    <row r="6">
      <c r="A6" s="22" t="s">
        <v>141</v>
      </c>
      <c r="B6" s="1"/>
      <c r="C6" s="1"/>
      <c r="D6" s="1"/>
      <c r="E6" s="1"/>
      <c r="F6" s="1"/>
      <c r="G6" s="22"/>
      <c r="H6" s="1"/>
      <c r="J6" s="1"/>
      <c r="K6" s="7"/>
    </row>
    <row r="7">
      <c r="A7" s="1"/>
      <c r="B7" s="1"/>
      <c r="C7" s="1"/>
      <c r="D7" s="1"/>
      <c r="E7" s="1"/>
      <c r="F7" s="1"/>
      <c r="G7" s="22"/>
      <c r="H7" s="1"/>
      <c r="J7" s="1"/>
      <c r="K7" s="7"/>
    </row>
    <row r="8">
      <c r="A8" s="16" t="s">
        <v>0</v>
      </c>
      <c r="B8" s="16" t="s">
        <v>1</v>
      </c>
      <c r="C8" s="16" t="s">
        <v>2</v>
      </c>
      <c r="D8" s="16" t="s">
        <v>3</v>
      </c>
      <c r="E8" s="16" t="s">
        <v>4</v>
      </c>
      <c r="F8" s="16" t="s">
        <v>5</v>
      </c>
      <c r="G8" s="25" t="s">
        <v>142</v>
      </c>
      <c r="H8" s="16" t="s">
        <v>6</v>
      </c>
      <c r="J8" s="16" t="s">
        <v>3</v>
      </c>
      <c r="K8" s="10" t="s">
        <v>142</v>
      </c>
    </row>
    <row r="9">
      <c r="A9" s="18">
        <v>1001.0</v>
      </c>
      <c r="B9" s="19" t="s">
        <v>7</v>
      </c>
      <c r="C9" s="19" t="s">
        <v>8</v>
      </c>
      <c r="D9" s="19" t="s">
        <v>9</v>
      </c>
      <c r="E9" s="18">
        <v>10.0</v>
      </c>
      <c r="F9" s="18">
        <v>50.0</v>
      </c>
      <c r="G9" s="26">
        <f t="shared" ref="G9:G58" si="1">(E9*F9)</f>
        <v>500</v>
      </c>
      <c r="H9" s="20">
        <v>45413.0</v>
      </c>
      <c r="J9" s="19" t="s">
        <v>9</v>
      </c>
      <c r="K9" s="21">
        <f>sumif(D9:D58,"Notebook",G9:G58)</f>
        <v>7550</v>
      </c>
    </row>
    <row r="10">
      <c r="A10" s="18">
        <v>1002.0</v>
      </c>
      <c r="B10" s="19" t="s">
        <v>10</v>
      </c>
      <c r="C10" s="19" t="s">
        <v>11</v>
      </c>
      <c r="D10" s="19" t="s">
        <v>12</v>
      </c>
      <c r="E10" s="18">
        <v>20.0</v>
      </c>
      <c r="F10" s="18">
        <v>10.0</v>
      </c>
      <c r="G10" s="26">
        <f t="shared" si="1"/>
        <v>200</v>
      </c>
      <c r="H10" s="20">
        <v>45444.0</v>
      </c>
      <c r="J10" s="19" t="s">
        <v>12</v>
      </c>
      <c r="K10" s="21">
        <f>sumif(D8:D58,"Pen",G9:G58)</f>
        <v>3650</v>
      </c>
    </row>
    <row r="11">
      <c r="A11" s="18">
        <v>1003.0</v>
      </c>
      <c r="B11" s="19" t="s">
        <v>13</v>
      </c>
      <c r="C11" s="19" t="s">
        <v>14</v>
      </c>
      <c r="D11" s="19" t="s">
        <v>15</v>
      </c>
      <c r="E11" s="18">
        <v>15.0</v>
      </c>
      <c r="F11" s="18">
        <v>25.0</v>
      </c>
      <c r="G11" s="26">
        <f t="shared" si="1"/>
        <v>375</v>
      </c>
      <c r="H11" s="20">
        <v>45474.0</v>
      </c>
      <c r="J11" s="19" t="s">
        <v>15</v>
      </c>
      <c r="K11" s="21">
        <f>sumif(D9:D58,"Marker",G9:G58)</f>
        <v>3650</v>
      </c>
    </row>
    <row r="12">
      <c r="A12" s="18">
        <v>1004.0</v>
      </c>
      <c r="B12" s="19" t="s">
        <v>16</v>
      </c>
      <c r="C12" s="19" t="s">
        <v>17</v>
      </c>
      <c r="D12" s="19" t="s">
        <v>9</v>
      </c>
      <c r="E12" s="18">
        <v>5.0</v>
      </c>
      <c r="F12" s="18">
        <v>50.0</v>
      </c>
      <c r="G12" s="26">
        <f t="shared" si="1"/>
        <v>250</v>
      </c>
      <c r="H12" s="20">
        <v>45505.0</v>
      </c>
      <c r="J12" s="19" t="s">
        <v>19</v>
      </c>
      <c r="K12" s="21">
        <f>sumif(D9:D58,"Pencil",G9:G58)</f>
        <v>1235</v>
      </c>
    </row>
    <row r="13">
      <c r="A13" s="18">
        <v>1005.0</v>
      </c>
      <c r="B13" s="19" t="s">
        <v>18</v>
      </c>
      <c r="C13" s="19" t="s">
        <v>8</v>
      </c>
      <c r="D13" s="19" t="s">
        <v>19</v>
      </c>
      <c r="E13" s="18">
        <v>30.0</v>
      </c>
      <c r="F13" s="18">
        <v>5.0</v>
      </c>
      <c r="G13" s="26">
        <f t="shared" si="1"/>
        <v>150</v>
      </c>
      <c r="H13" s="20">
        <v>45566.0</v>
      </c>
      <c r="J13" s="19" t="s">
        <v>22</v>
      </c>
      <c r="K13" s="21">
        <f>SUMIF(D9:D58,"Eraser",G9:G58)</f>
        <v>1928</v>
      </c>
    </row>
    <row r="14">
      <c r="A14" s="18">
        <v>1006.0</v>
      </c>
      <c r="B14" s="19" t="s">
        <v>20</v>
      </c>
      <c r="C14" s="19" t="s">
        <v>11</v>
      </c>
      <c r="D14" s="19" t="s">
        <v>9</v>
      </c>
      <c r="E14" s="18">
        <v>12.0</v>
      </c>
      <c r="F14" s="18">
        <v>50.0</v>
      </c>
      <c r="G14" s="26">
        <f t="shared" si="1"/>
        <v>600</v>
      </c>
      <c r="H14" s="20">
        <v>45597.0</v>
      </c>
    </row>
    <row r="15">
      <c r="A15" s="18">
        <v>1007.0</v>
      </c>
      <c r="B15" s="19" t="s">
        <v>21</v>
      </c>
      <c r="C15" s="19" t="s">
        <v>14</v>
      </c>
      <c r="D15" s="19" t="s">
        <v>22</v>
      </c>
      <c r="E15" s="18">
        <v>25.0</v>
      </c>
      <c r="F15" s="18">
        <v>8.0</v>
      </c>
      <c r="G15" s="26">
        <f t="shared" si="1"/>
        <v>200</v>
      </c>
      <c r="H15" s="18" t="s">
        <v>23</v>
      </c>
    </row>
    <row r="16">
      <c r="A16" s="18">
        <v>1008.0</v>
      </c>
      <c r="B16" s="19" t="s">
        <v>24</v>
      </c>
      <c r="C16" s="19" t="s">
        <v>17</v>
      </c>
      <c r="D16" s="19" t="s">
        <v>12</v>
      </c>
      <c r="E16" s="18">
        <v>18.0</v>
      </c>
      <c r="F16" s="18">
        <v>10.0</v>
      </c>
      <c r="G16" s="26">
        <f t="shared" si="1"/>
        <v>180</v>
      </c>
      <c r="H16" s="18" t="s">
        <v>25</v>
      </c>
    </row>
    <row r="17">
      <c r="A17" s="18">
        <v>1009.0</v>
      </c>
      <c r="B17" s="19" t="s">
        <v>26</v>
      </c>
      <c r="C17" s="19" t="s">
        <v>8</v>
      </c>
      <c r="D17" s="19" t="s">
        <v>15</v>
      </c>
      <c r="E17" s="18">
        <v>22.0</v>
      </c>
      <c r="F17" s="18">
        <v>25.0</v>
      </c>
      <c r="G17" s="26">
        <f t="shared" si="1"/>
        <v>550</v>
      </c>
      <c r="H17" s="18" t="s">
        <v>27</v>
      </c>
    </row>
    <row r="18">
      <c r="A18" s="18">
        <v>1010.0</v>
      </c>
      <c r="B18" s="19" t="s">
        <v>28</v>
      </c>
      <c r="C18" s="19" t="s">
        <v>11</v>
      </c>
      <c r="D18" s="19" t="s">
        <v>9</v>
      </c>
      <c r="E18" s="18">
        <v>8.0</v>
      </c>
      <c r="F18" s="18">
        <v>50.0</v>
      </c>
      <c r="G18" s="26">
        <f t="shared" si="1"/>
        <v>400</v>
      </c>
      <c r="H18" s="18" t="s">
        <v>29</v>
      </c>
    </row>
    <row r="19">
      <c r="A19" s="18">
        <v>1011.0</v>
      </c>
      <c r="B19" s="19" t="s">
        <v>30</v>
      </c>
      <c r="C19" s="19" t="s">
        <v>14</v>
      </c>
      <c r="D19" s="19" t="s">
        <v>19</v>
      </c>
      <c r="E19" s="18">
        <v>40.0</v>
      </c>
      <c r="F19" s="18">
        <v>5.0</v>
      </c>
      <c r="G19" s="26">
        <f t="shared" si="1"/>
        <v>200</v>
      </c>
      <c r="H19" s="18" t="s">
        <v>31</v>
      </c>
    </row>
    <row r="20">
      <c r="A20" s="18">
        <v>1012.0</v>
      </c>
      <c r="B20" s="19" t="s">
        <v>32</v>
      </c>
      <c r="C20" s="19" t="s">
        <v>17</v>
      </c>
      <c r="D20" s="19" t="s">
        <v>22</v>
      </c>
      <c r="E20" s="18">
        <v>35.0</v>
      </c>
      <c r="F20" s="18">
        <v>8.0</v>
      </c>
      <c r="G20" s="26">
        <f t="shared" si="1"/>
        <v>280</v>
      </c>
      <c r="H20" s="18" t="s">
        <v>33</v>
      </c>
    </row>
    <row r="21">
      <c r="A21" s="18">
        <v>1013.0</v>
      </c>
      <c r="B21" s="19" t="s">
        <v>34</v>
      </c>
      <c r="C21" s="19" t="s">
        <v>8</v>
      </c>
      <c r="D21" s="19" t="s">
        <v>9</v>
      </c>
      <c r="E21" s="18">
        <v>14.0</v>
      </c>
      <c r="F21" s="18">
        <v>50.0</v>
      </c>
      <c r="G21" s="26">
        <f t="shared" si="1"/>
        <v>700</v>
      </c>
      <c r="H21" s="18" t="s">
        <v>35</v>
      </c>
    </row>
    <row r="22">
      <c r="A22" s="18">
        <v>1014.0</v>
      </c>
      <c r="B22" s="19" t="s">
        <v>36</v>
      </c>
      <c r="C22" s="19" t="s">
        <v>11</v>
      </c>
      <c r="D22" s="19" t="s">
        <v>12</v>
      </c>
      <c r="E22" s="18">
        <v>28.0</v>
      </c>
      <c r="F22" s="18">
        <v>10.0</v>
      </c>
      <c r="G22" s="26">
        <f t="shared" si="1"/>
        <v>280</v>
      </c>
      <c r="H22" s="18" t="s">
        <v>37</v>
      </c>
    </row>
    <row r="23">
      <c r="A23" s="18">
        <v>1015.0</v>
      </c>
      <c r="B23" s="19" t="s">
        <v>38</v>
      </c>
      <c r="C23" s="19" t="s">
        <v>14</v>
      </c>
      <c r="D23" s="19" t="s">
        <v>15</v>
      </c>
      <c r="E23" s="18">
        <v>12.0</v>
      </c>
      <c r="F23" s="18">
        <v>25.0</v>
      </c>
      <c r="G23" s="26">
        <f t="shared" si="1"/>
        <v>300</v>
      </c>
      <c r="H23" s="18" t="s">
        <v>39</v>
      </c>
    </row>
    <row r="24">
      <c r="A24" s="18">
        <v>1016.0</v>
      </c>
      <c r="B24" s="19" t="s">
        <v>40</v>
      </c>
      <c r="C24" s="19" t="s">
        <v>17</v>
      </c>
      <c r="D24" s="19" t="s">
        <v>19</v>
      </c>
      <c r="E24" s="18">
        <v>25.0</v>
      </c>
      <c r="F24" s="18">
        <v>5.0</v>
      </c>
      <c r="G24" s="26">
        <f t="shared" si="1"/>
        <v>125</v>
      </c>
      <c r="H24" s="18" t="s">
        <v>41</v>
      </c>
    </row>
    <row r="25">
      <c r="A25" s="18">
        <v>1017.0</v>
      </c>
      <c r="B25" s="19" t="s">
        <v>42</v>
      </c>
      <c r="C25" s="19" t="s">
        <v>8</v>
      </c>
      <c r="D25" s="19" t="s">
        <v>22</v>
      </c>
      <c r="E25" s="18">
        <v>20.0</v>
      </c>
      <c r="F25" s="18">
        <v>8.0</v>
      </c>
      <c r="G25" s="26">
        <f t="shared" si="1"/>
        <v>160</v>
      </c>
      <c r="H25" s="18" t="s">
        <v>43</v>
      </c>
    </row>
    <row r="26">
      <c r="A26" s="18">
        <v>1018.0</v>
      </c>
      <c r="B26" s="19" t="s">
        <v>44</v>
      </c>
      <c r="C26" s="19" t="s">
        <v>11</v>
      </c>
      <c r="D26" s="19" t="s">
        <v>9</v>
      </c>
      <c r="E26" s="18">
        <v>10.0</v>
      </c>
      <c r="F26" s="18">
        <v>50.0</v>
      </c>
      <c r="G26" s="26">
        <f t="shared" si="1"/>
        <v>500</v>
      </c>
      <c r="H26" s="18" t="s">
        <v>45</v>
      </c>
    </row>
    <row r="27">
      <c r="A27" s="18">
        <v>1019.0</v>
      </c>
      <c r="B27" s="19" t="s">
        <v>46</v>
      </c>
      <c r="C27" s="19" t="s">
        <v>14</v>
      </c>
      <c r="D27" s="19" t="s">
        <v>12</v>
      </c>
      <c r="E27" s="18">
        <v>15.0</v>
      </c>
      <c r="F27" s="18">
        <v>10.0</v>
      </c>
      <c r="G27" s="26">
        <f t="shared" si="1"/>
        <v>150</v>
      </c>
      <c r="H27" s="18" t="s">
        <v>47</v>
      </c>
    </row>
    <row r="28">
      <c r="A28" s="18">
        <v>1020.0</v>
      </c>
      <c r="B28" s="19" t="s">
        <v>48</v>
      </c>
      <c r="C28" s="19" t="s">
        <v>17</v>
      </c>
      <c r="D28" s="19" t="s">
        <v>15</v>
      </c>
      <c r="E28" s="18">
        <v>18.0</v>
      </c>
      <c r="F28" s="18">
        <v>25.0</v>
      </c>
      <c r="G28" s="26">
        <f t="shared" si="1"/>
        <v>450</v>
      </c>
      <c r="H28" s="20">
        <v>45293.0</v>
      </c>
    </row>
    <row r="29">
      <c r="A29" s="18">
        <v>1021.0</v>
      </c>
      <c r="B29" s="19" t="s">
        <v>49</v>
      </c>
      <c r="C29" s="19" t="s">
        <v>8</v>
      </c>
      <c r="D29" s="19" t="s">
        <v>9</v>
      </c>
      <c r="E29" s="18">
        <v>9.0</v>
      </c>
      <c r="F29" s="18">
        <v>50.0</v>
      </c>
      <c r="G29" s="26">
        <f t="shared" si="1"/>
        <v>450</v>
      </c>
      <c r="H29" s="20">
        <v>45324.0</v>
      </c>
    </row>
    <row r="30">
      <c r="A30" s="18">
        <v>1022.0</v>
      </c>
      <c r="B30" s="19" t="s">
        <v>50</v>
      </c>
      <c r="C30" s="19" t="s">
        <v>11</v>
      </c>
      <c r="D30" s="19" t="s">
        <v>19</v>
      </c>
      <c r="E30" s="18">
        <v>35.0</v>
      </c>
      <c r="F30" s="18">
        <v>5.0</v>
      </c>
      <c r="G30" s="26">
        <f t="shared" si="1"/>
        <v>175</v>
      </c>
      <c r="H30" s="20">
        <v>45353.0</v>
      </c>
    </row>
    <row r="31">
      <c r="A31" s="18">
        <v>1023.0</v>
      </c>
      <c r="B31" s="19" t="s">
        <v>51</v>
      </c>
      <c r="C31" s="19" t="s">
        <v>14</v>
      </c>
      <c r="D31" s="19" t="s">
        <v>22</v>
      </c>
      <c r="E31" s="18">
        <v>30.0</v>
      </c>
      <c r="F31" s="18">
        <v>8.0</v>
      </c>
      <c r="G31" s="26">
        <f t="shared" si="1"/>
        <v>240</v>
      </c>
      <c r="H31" s="20">
        <v>45384.0</v>
      </c>
    </row>
    <row r="32">
      <c r="A32" s="18">
        <v>1024.0</v>
      </c>
      <c r="B32" s="19" t="s">
        <v>52</v>
      </c>
      <c r="C32" s="19" t="s">
        <v>17</v>
      </c>
      <c r="D32" s="19" t="s">
        <v>9</v>
      </c>
      <c r="E32" s="18">
        <v>11.0</v>
      </c>
      <c r="F32" s="18">
        <v>50.0</v>
      </c>
      <c r="G32" s="26">
        <f t="shared" si="1"/>
        <v>550</v>
      </c>
      <c r="H32" s="20">
        <v>45445.0</v>
      </c>
    </row>
    <row r="33">
      <c r="A33" s="18">
        <v>1025.0</v>
      </c>
      <c r="B33" s="19" t="s">
        <v>53</v>
      </c>
      <c r="C33" s="19" t="s">
        <v>8</v>
      </c>
      <c r="D33" s="19" t="s">
        <v>12</v>
      </c>
      <c r="E33" s="18">
        <v>14.0</v>
      </c>
      <c r="F33" s="18">
        <v>10.0</v>
      </c>
      <c r="G33" s="26">
        <f t="shared" si="1"/>
        <v>140</v>
      </c>
      <c r="H33" s="20">
        <v>45475.0</v>
      </c>
    </row>
    <row r="34">
      <c r="A34" s="18">
        <v>1026.0</v>
      </c>
      <c r="B34" s="19" t="s">
        <v>54</v>
      </c>
      <c r="C34" s="19" t="s">
        <v>11</v>
      </c>
      <c r="D34" s="19" t="s">
        <v>15</v>
      </c>
      <c r="E34" s="18">
        <v>16.0</v>
      </c>
      <c r="F34" s="18">
        <v>25.0</v>
      </c>
      <c r="G34" s="26">
        <f t="shared" si="1"/>
        <v>400</v>
      </c>
      <c r="H34" s="20">
        <v>45506.0</v>
      </c>
    </row>
    <row r="35">
      <c r="A35" s="18">
        <v>1027.0</v>
      </c>
      <c r="B35" s="19" t="s">
        <v>55</v>
      </c>
      <c r="C35" s="19" t="s">
        <v>14</v>
      </c>
      <c r="D35" s="19" t="s">
        <v>19</v>
      </c>
      <c r="E35" s="18">
        <v>22.0</v>
      </c>
      <c r="F35" s="18">
        <v>5.0</v>
      </c>
      <c r="G35" s="26">
        <f t="shared" si="1"/>
        <v>110</v>
      </c>
      <c r="H35" s="20">
        <v>45537.0</v>
      </c>
    </row>
    <row r="36">
      <c r="A36" s="18">
        <v>1028.0</v>
      </c>
      <c r="B36" s="19" t="s">
        <v>56</v>
      </c>
      <c r="C36" s="19" t="s">
        <v>17</v>
      </c>
      <c r="D36" s="19" t="s">
        <v>22</v>
      </c>
      <c r="E36" s="18">
        <v>27.0</v>
      </c>
      <c r="F36" s="18">
        <v>8.0</v>
      </c>
      <c r="G36" s="26">
        <f t="shared" si="1"/>
        <v>216</v>
      </c>
      <c r="H36" s="20">
        <v>45567.0</v>
      </c>
    </row>
    <row r="37">
      <c r="A37" s="18">
        <v>1029.0</v>
      </c>
      <c r="B37" s="19" t="s">
        <v>57</v>
      </c>
      <c r="C37" s="19" t="s">
        <v>8</v>
      </c>
      <c r="D37" s="19" t="s">
        <v>9</v>
      </c>
      <c r="E37" s="18">
        <v>13.0</v>
      </c>
      <c r="F37" s="18">
        <v>50.0</v>
      </c>
      <c r="G37" s="26">
        <f t="shared" si="1"/>
        <v>650</v>
      </c>
      <c r="H37" s="20">
        <v>45628.0</v>
      </c>
    </row>
    <row r="38">
      <c r="A38" s="18">
        <v>1030.0</v>
      </c>
      <c r="B38" s="19" t="s">
        <v>58</v>
      </c>
      <c r="C38" s="19" t="s">
        <v>11</v>
      </c>
      <c r="D38" s="19" t="s">
        <v>12</v>
      </c>
      <c r="E38" s="18">
        <v>32.0</v>
      </c>
      <c r="F38" s="18">
        <v>10.0</v>
      </c>
      <c r="G38" s="26">
        <f t="shared" si="1"/>
        <v>320</v>
      </c>
      <c r="H38" s="18" t="s">
        <v>59</v>
      </c>
    </row>
    <row r="39">
      <c r="A39" s="18">
        <v>1031.0</v>
      </c>
      <c r="B39" s="19" t="s">
        <v>60</v>
      </c>
      <c r="C39" s="19" t="s">
        <v>14</v>
      </c>
      <c r="D39" s="19" t="s">
        <v>15</v>
      </c>
      <c r="E39" s="18">
        <v>10.0</v>
      </c>
      <c r="F39" s="18">
        <v>25.0</v>
      </c>
      <c r="G39" s="26">
        <f t="shared" si="1"/>
        <v>250</v>
      </c>
      <c r="H39" s="18" t="s">
        <v>61</v>
      </c>
    </row>
    <row r="40">
      <c r="A40" s="18">
        <v>1032.0</v>
      </c>
      <c r="B40" s="19" t="s">
        <v>62</v>
      </c>
      <c r="C40" s="19" t="s">
        <v>17</v>
      </c>
      <c r="D40" s="19" t="s">
        <v>19</v>
      </c>
      <c r="E40" s="18">
        <v>18.0</v>
      </c>
      <c r="F40" s="18">
        <v>5.0</v>
      </c>
      <c r="G40" s="26">
        <f t="shared" si="1"/>
        <v>90</v>
      </c>
      <c r="H40" s="18" t="s">
        <v>63</v>
      </c>
    </row>
    <row r="41">
      <c r="A41" s="18">
        <v>1033.0</v>
      </c>
      <c r="B41" s="19" t="s">
        <v>64</v>
      </c>
      <c r="C41" s="19" t="s">
        <v>8</v>
      </c>
      <c r="D41" s="19" t="s">
        <v>22</v>
      </c>
      <c r="E41" s="18">
        <v>22.0</v>
      </c>
      <c r="F41" s="18">
        <v>8.0</v>
      </c>
      <c r="G41" s="26">
        <f t="shared" si="1"/>
        <v>176</v>
      </c>
      <c r="H41" s="18" t="s">
        <v>65</v>
      </c>
    </row>
    <row r="42">
      <c r="A42" s="18">
        <v>1034.0</v>
      </c>
      <c r="B42" s="19" t="s">
        <v>66</v>
      </c>
      <c r="C42" s="19" t="s">
        <v>11</v>
      </c>
      <c r="D42" s="19" t="s">
        <v>9</v>
      </c>
      <c r="E42" s="18">
        <v>17.0</v>
      </c>
      <c r="F42" s="18">
        <v>50.0</v>
      </c>
      <c r="G42" s="26">
        <f t="shared" si="1"/>
        <v>850</v>
      </c>
      <c r="H42" s="18" t="s">
        <v>67</v>
      </c>
    </row>
    <row r="43">
      <c r="A43" s="18">
        <v>1035.0</v>
      </c>
      <c r="B43" s="19" t="s">
        <v>68</v>
      </c>
      <c r="C43" s="19" t="s">
        <v>14</v>
      </c>
      <c r="D43" s="19" t="s">
        <v>12</v>
      </c>
      <c r="E43" s="18">
        <v>19.0</v>
      </c>
      <c r="F43" s="18">
        <v>10.0</v>
      </c>
      <c r="G43" s="26">
        <f t="shared" si="1"/>
        <v>190</v>
      </c>
      <c r="H43" s="18" t="s">
        <v>69</v>
      </c>
    </row>
    <row r="44">
      <c r="A44" s="18">
        <v>1036.0</v>
      </c>
      <c r="B44" s="19" t="s">
        <v>70</v>
      </c>
      <c r="C44" s="19" t="s">
        <v>17</v>
      </c>
      <c r="D44" s="19" t="s">
        <v>15</v>
      </c>
      <c r="E44" s="18">
        <v>15.0</v>
      </c>
      <c r="F44" s="18">
        <v>25.0</v>
      </c>
      <c r="G44" s="26">
        <f t="shared" si="1"/>
        <v>375</v>
      </c>
      <c r="H44" s="18" t="s">
        <v>71</v>
      </c>
    </row>
    <row r="45">
      <c r="A45" s="18">
        <v>1037.0</v>
      </c>
      <c r="B45" s="19" t="s">
        <v>72</v>
      </c>
      <c r="C45" s="19" t="s">
        <v>8</v>
      </c>
      <c r="D45" s="19" t="s">
        <v>19</v>
      </c>
      <c r="E45" s="18">
        <v>28.0</v>
      </c>
      <c r="F45" s="18">
        <v>5.0</v>
      </c>
      <c r="G45" s="26">
        <f t="shared" si="1"/>
        <v>140</v>
      </c>
      <c r="H45" s="18" t="s">
        <v>73</v>
      </c>
    </row>
    <row r="46">
      <c r="A46" s="18">
        <v>1038.0</v>
      </c>
      <c r="B46" s="19" t="s">
        <v>74</v>
      </c>
      <c r="C46" s="19" t="s">
        <v>11</v>
      </c>
      <c r="D46" s="19" t="s">
        <v>22</v>
      </c>
      <c r="E46" s="18">
        <v>24.0</v>
      </c>
      <c r="F46" s="18">
        <v>8.0</v>
      </c>
      <c r="G46" s="26">
        <f t="shared" si="1"/>
        <v>192</v>
      </c>
      <c r="H46" s="18" t="s">
        <v>75</v>
      </c>
    </row>
    <row r="47">
      <c r="A47" s="18">
        <v>1039.0</v>
      </c>
      <c r="B47" s="19" t="s">
        <v>76</v>
      </c>
      <c r="C47" s="19" t="s">
        <v>14</v>
      </c>
      <c r="D47" s="19" t="s">
        <v>9</v>
      </c>
      <c r="E47" s="18">
        <v>16.0</v>
      </c>
      <c r="F47" s="18">
        <v>50.0</v>
      </c>
      <c r="G47" s="26">
        <f t="shared" si="1"/>
        <v>800</v>
      </c>
      <c r="H47" s="18" t="s">
        <v>77</v>
      </c>
    </row>
    <row r="48">
      <c r="A48" s="18">
        <v>1040.0</v>
      </c>
      <c r="B48" s="19" t="s">
        <v>78</v>
      </c>
      <c r="C48" s="19" t="s">
        <v>17</v>
      </c>
      <c r="D48" s="19" t="s">
        <v>12</v>
      </c>
      <c r="E48" s="18">
        <v>27.0</v>
      </c>
      <c r="F48" s="18">
        <v>10.0</v>
      </c>
      <c r="G48" s="26">
        <f t="shared" si="1"/>
        <v>270</v>
      </c>
      <c r="H48" s="18" t="s">
        <v>79</v>
      </c>
    </row>
    <row r="49">
      <c r="A49" s="18">
        <v>1041.0</v>
      </c>
      <c r="B49" s="19" t="s">
        <v>80</v>
      </c>
      <c r="C49" s="19" t="s">
        <v>8</v>
      </c>
      <c r="D49" s="19" t="s">
        <v>15</v>
      </c>
      <c r="E49" s="18">
        <v>21.0</v>
      </c>
      <c r="F49" s="18">
        <v>25.0</v>
      </c>
      <c r="G49" s="26">
        <f t="shared" si="1"/>
        <v>525</v>
      </c>
      <c r="H49" s="18" t="s">
        <v>81</v>
      </c>
    </row>
    <row r="50">
      <c r="A50" s="18">
        <v>1042.0</v>
      </c>
      <c r="B50" s="19" t="s">
        <v>82</v>
      </c>
      <c r="C50" s="19" t="s">
        <v>11</v>
      </c>
      <c r="D50" s="19" t="s">
        <v>19</v>
      </c>
      <c r="E50" s="18">
        <v>30.0</v>
      </c>
      <c r="F50" s="18">
        <v>5.0</v>
      </c>
      <c r="G50" s="26">
        <f t="shared" si="1"/>
        <v>150</v>
      </c>
      <c r="H50" s="18" t="s">
        <v>83</v>
      </c>
    </row>
    <row r="51">
      <c r="A51" s="18">
        <v>1043.0</v>
      </c>
      <c r="B51" s="19" t="s">
        <v>84</v>
      </c>
      <c r="C51" s="19" t="s">
        <v>14</v>
      </c>
      <c r="D51" s="19" t="s">
        <v>22</v>
      </c>
      <c r="E51" s="18">
        <v>26.0</v>
      </c>
      <c r="F51" s="18">
        <v>8.0</v>
      </c>
      <c r="G51" s="26">
        <f t="shared" si="1"/>
        <v>208</v>
      </c>
      <c r="H51" s="20">
        <v>45294.0</v>
      </c>
    </row>
    <row r="52">
      <c r="A52" s="18">
        <v>1044.0</v>
      </c>
      <c r="B52" s="19" t="s">
        <v>85</v>
      </c>
      <c r="C52" s="19" t="s">
        <v>17</v>
      </c>
      <c r="D52" s="19" t="s">
        <v>9</v>
      </c>
      <c r="E52" s="18">
        <v>14.0</v>
      </c>
      <c r="F52" s="18">
        <v>50.0</v>
      </c>
      <c r="G52" s="26">
        <f t="shared" si="1"/>
        <v>700</v>
      </c>
      <c r="H52" s="20">
        <v>45325.0</v>
      </c>
    </row>
    <row r="53">
      <c r="A53" s="18">
        <v>1045.0</v>
      </c>
      <c r="B53" s="19" t="s">
        <v>86</v>
      </c>
      <c r="C53" s="19" t="s">
        <v>8</v>
      </c>
      <c r="D53" s="19" t="s">
        <v>12</v>
      </c>
      <c r="E53" s="18">
        <v>20.0</v>
      </c>
      <c r="F53" s="18">
        <v>10.0</v>
      </c>
      <c r="G53" s="26">
        <f t="shared" si="1"/>
        <v>200</v>
      </c>
      <c r="H53" s="20">
        <v>45354.0</v>
      </c>
    </row>
    <row r="54">
      <c r="A54" s="18">
        <v>1046.0</v>
      </c>
      <c r="B54" s="19" t="s">
        <v>87</v>
      </c>
      <c r="C54" s="19" t="s">
        <v>11</v>
      </c>
      <c r="D54" s="19" t="s">
        <v>15</v>
      </c>
      <c r="E54" s="18">
        <v>17.0</v>
      </c>
      <c r="F54" s="18">
        <v>25.0</v>
      </c>
      <c r="G54" s="26">
        <f t="shared" si="1"/>
        <v>425</v>
      </c>
      <c r="H54" s="20">
        <v>45385.0</v>
      </c>
    </row>
    <row r="55">
      <c r="A55" s="18">
        <v>1047.0</v>
      </c>
      <c r="B55" s="19" t="s">
        <v>88</v>
      </c>
      <c r="C55" s="19" t="s">
        <v>14</v>
      </c>
      <c r="D55" s="19" t="s">
        <v>19</v>
      </c>
      <c r="E55" s="18">
        <v>19.0</v>
      </c>
      <c r="F55" s="18">
        <v>5.0</v>
      </c>
      <c r="G55" s="26">
        <f t="shared" si="1"/>
        <v>95</v>
      </c>
      <c r="H55" s="20">
        <v>45415.0</v>
      </c>
    </row>
    <row r="56">
      <c r="A56" s="18">
        <v>1048.0</v>
      </c>
      <c r="B56" s="19" t="s">
        <v>89</v>
      </c>
      <c r="C56" s="19" t="s">
        <v>17</v>
      </c>
      <c r="D56" s="19" t="s">
        <v>22</v>
      </c>
      <c r="E56" s="18">
        <v>32.0</v>
      </c>
      <c r="F56" s="18">
        <v>8.0</v>
      </c>
      <c r="G56" s="26">
        <f t="shared" si="1"/>
        <v>256</v>
      </c>
      <c r="H56" s="20">
        <v>45446.0</v>
      </c>
    </row>
    <row r="57">
      <c r="A57" s="18">
        <v>1049.0</v>
      </c>
      <c r="B57" s="19" t="s">
        <v>90</v>
      </c>
      <c r="C57" s="19" t="s">
        <v>8</v>
      </c>
      <c r="D57" s="19" t="s">
        <v>9</v>
      </c>
      <c r="E57" s="18">
        <v>12.0</v>
      </c>
      <c r="F57" s="18">
        <v>50.0</v>
      </c>
      <c r="G57" s="26">
        <f t="shared" si="1"/>
        <v>600</v>
      </c>
      <c r="H57" s="20">
        <v>45476.0</v>
      </c>
    </row>
    <row r="58">
      <c r="A58" s="18">
        <v>1050.0</v>
      </c>
      <c r="B58" s="19" t="s">
        <v>91</v>
      </c>
      <c r="C58" s="19" t="s">
        <v>11</v>
      </c>
      <c r="D58" s="19" t="s">
        <v>12</v>
      </c>
      <c r="E58" s="18">
        <v>25.0</v>
      </c>
      <c r="F58" s="18">
        <v>10.0</v>
      </c>
      <c r="G58" s="26">
        <f t="shared" si="1"/>
        <v>250</v>
      </c>
      <c r="H58" s="20">
        <v>45507.0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143</v>
      </c>
    </row>
    <row r="2">
      <c r="B2" s="1"/>
      <c r="C2" s="1"/>
      <c r="D2" s="1"/>
      <c r="E2" s="1"/>
      <c r="F2" s="1"/>
      <c r="G2" s="1"/>
      <c r="H2" s="1"/>
    </row>
    <row r="3">
      <c r="A3" s="22" t="s">
        <v>93</v>
      </c>
      <c r="B3" s="1"/>
      <c r="C3" s="1"/>
      <c r="D3" s="1"/>
      <c r="E3" s="1"/>
      <c r="F3" s="1"/>
      <c r="G3" s="1"/>
      <c r="H3" s="1"/>
    </row>
    <row r="4">
      <c r="A4" s="22" t="s">
        <v>139</v>
      </c>
      <c r="B4" s="1"/>
      <c r="C4" s="1"/>
      <c r="D4" s="1"/>
      <c r="E4" s="1"/>
      <c r="F4" s="1"/>
      <c r="G4" s="1"/>
      <c r="H4" s="1"/>
    </row>
    <row r="5">
      <c r="A5" s="22" t="s">
        <v>144</v>
      </c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6" t="s">
        <v>0</v>
      </c>
      <c r="B7" s="16" t="s">
        <v>1</v>
      </c>
      <c r="C7" s="16" t="s">
        <v>2</v>
      </c>
      <c r="D7" s="16" t="s">
        <v>3</v>
      </c>
      <c r="E7" s="16" t="s">
        <v>4</v>
      </c>
      <c r="F7" s="16" t="s">
        <v>5</v>
      </c>
      <c r="G7" s="25" t="s">
        <v>135</v>
      </c>
      <c r="H7" s="16" t="s">
        <v>6</v>
      </c>
    </row>
    <row r="8">
      <c r="A8" s="18">
        <v>1001.0</v>
      </c>
      <c r="B8" s="19" t="s">
        <v>7</v>
      </c>
      <c r="C8" s="19" t="s">
        <v>8</v>
      </c>
      <c r="D8" s="19" t="s">
        <v>9</v>
      </c>
      <c r="E8" s="18">
        <v>10.0</v>
      </c>
      <c r="F8" s="18">
        <v>50.0</v>
      </c>
      <c r="G8" s="26">
        <f t="shared" ref="G8:G57" si="1">(E8*F8)</f>
        <v>500</v>
      </c>
      <c r="H8" s="20">
        <v>45413.0</v>
      </c>
    </row>
    <row r="9">
      <c r="A9" s="18">
        <v>1002.0</v>
      </c>
      <c r="B9" s="19" t="s">
        <v>10</v>
      </c>
      <c r="C9" s="19" t="s">
        <v>11</v>
      </c>
      <c r="D9" s="19" t="s">
        <v>12</v>
      </c>
      <c r="E9" s="18">
        <v>20.0</v>
      </c>
      <c r="F9" s="18">
        <v>10.0</v>
      </c>
      <c r="G9" s="26">
        <f t="shared" si="1"/>
        <v>200</v>
      </c>
      <c r="H9" s="20">
        <v>45444.0</v>
      </c>
    </row>
    <row r="10">
      <c r="A10" s="18">
        <v>1003.0</v>
      </c>
      <c r="B10" s="19" t="s">
        <v>13</v>
      </c>
      <c r="C10" s="19" t="s">
        <v>14</v>
      </c>
      <c r="D10" s="19" t="s">
        <v>15</v>
      </c>
      <c r="E10" s="18">
        <v>15.0</v>
      </c>
      <c r="F10" s="18">
        <v>25.0</v>
      </c>
      <c r="G10" s="26">
        <f t="shared" si="1"/>
        <v>375</v>
      </c>
      <c r="H10" s="20">
        <v>45474.0</v>
      </c>
    </row>
    <row r="11">
      <c r="A11" s="18">
        <v>1004.0</v>
      </c>
      <c r="B11" s="19" t="s">
        <v>16</v>
      </c>
      <c r="C11" s="19" t="s">
        <v>17</v>
      </c>
      <c r="D11" s="19" t="s">
        <v>9</v>
      </c>
      <c r="E11" s="18">
        <v>5.0</v>
      </c>
      <c r="F11" s="18">
        <v>50.0</v>
      </c>
      <c r="G11" s="26">
        <f t="shared" si="1"/>
        <v>250</v>
      </c>
      <c r="H11" s="20">
        <v>45505.0</v>
      </c>
    </row>
    <row r="12">
      <c r="A12" s="18">
        <v>1005.0</v>
      </c>
      <c r="B12" s="19" t="s">
        <v>18</v>
      </c>
      <c r="C12" s="19" t="s">
        <v>8</v>
      </c>
      <c r="D12" s="19" t="s">
        <v>19</v>
      </c>
      <c r="E12" s="18">
        <v>30.0</v>
      </c>
      <c r="F12" s="18">
        <v>5.0</v>
      </c>
      <c r="G12" s="26">
        <f t="shared" si="1"/>
        <v>150</v>
      </c>
      <c r="H12" s="20">
        <v>45566.0</v>
      </c>
    </row>
    <row r="13">
      <c r="A13" s="18">
        <v>1006.0</v>
      </c>
      <c r="B13" s="19" t="s">
        <v>20</v>
      </c>
      <c r="C13" s="19" t="s">
        <v>11</v>
      </c>
      <c r="D13" s="19" t="s">
        <v>9</v>
      </c>
      <c r="E13" s="18">
        <v>12.0</v>
      </c>
      <c r="F13" s="18">
        <v>50.0</v>
      </c>
      <c r="G13" s="26">
        <f t="shared" si="1"/>
        <v>600</v>
      </c>
      <c r="H13" s="20">
        <v>45597.0</v>
      </c>
    </row>
    <row r="14">
      <c r="A14" s="18">
        <v>1007.0</v>
      </c>
      <c r="B14" s="19" t="s">
        <v>21</v>
      </c>
      <c r="C14" s="19" t="s">
        <v>14</v>
      </c>
      <c r="D14" s="19" t="s">
        <v>22</v>
      </c>
      <c r="E14" s="18">
        <v>25.0</v>
      </c>
      <c r="F14" s="18">
        <v>8.0</v>
      </c>
      <c r="G14" s="26">
        <f t="shared" si="1"/>
        <v>200</v>
      </c>
      <c r="H14" s="18" t="s">
        <v>23</v>
      </c>
    </row>
    <row r="15">
      <c r="A15" s="18">
        <v>1008.0</v>
      </c>
      <c r="B15" s="19" t="s">
        <v>24</v>
      </c>
      <c r="C15" s="19" t="s">
        <v>17</v>
      </c>
      <c r="D15" s="19" t="s">
        <v>12</v>
      </c>
      <c r="E15" s="18">
        <v>18.0</v>
      </c>
      <c r="F15" s="18">
        <v>10.0</v>
      </c>
      <c r="G15" s="26">
        <f t="shared" si="1"/>
        <v>180</v>
      </c>
      <c r="H15" s="18" t="s">
        <v>25</v>
      </c>
    </row>
    <row r="16">
      <c r="A16" s="18">
        <v>1009.0</v>
      </c>
      <c r="B16" s="19" t="s">
        <v>26</v>
      </c>
      <c r="C16" s="19" t="s">
        <v>8</v>
      </c>
      <c r="D16" s="19" t="s">
        <v>15</v>
      </c>
      <c r="E16" s="18">
        <v>22.0</v>
      </c>
      <c r="F16" s="18">
        <v>25.0</v>
      </c>
      <c r="G16" s="26">
        <f t="shared" si="1"/>
        <v>550</v>
      </c>
      <c r="H16" s="18" t="s">
        <v>27</v>
      </c>
    </row>
    <row r="17">
      <c r="A17" s="18">
        <v>1010.0</v>
      </c>
      <c r="B17" s="19" t="s">
        <v>28</v>
      </c>
      <c r="C17" s="19" t="s">
        <v>11</v>
      </c>
      <c r="D17" s="19" t="s">
        <v>9</v>
      </c>
      <c r="E17" s="18">
        <v>8.0</v>
      </c>
      <c r="F17" s="18">
        <v>50.0</v>
      </c>
      <c r="G17" s="26">
        <f t="shared" si="1"/>
        <v>400</v>
      </c>
      <c r="H17" s="18" t="s">
        <v>29</v>
      </c>
    </row>
    <row r="18">
      <c r="A18" s="18">
        <v>1011.0</v>
      </c>
      <c r="B18" s="19" t="s">
        <v>30</v>
      </c>
      <c r="C18" s="19" t="s">
        <v>14</v>
      </c>
      <c r="D18" s="19" t="s">
        <v>19</v>
      </c>
      <c r="E18" s="18">
        <v>40.0</v>
      </c>
      <c r="F18" s="18">
        <v>5.0</v>
      </c>
      <c r="G18" s="26">
        <f t="shared" si="1"/>
        <v>200</v>
      </c>
      <c r="H18" s="18" t="s">
        <v>31</v>
      </c>
    </row>
    <row r="19">
      <c r="A19" s="18">
        <v>1012.0</v>
      </c>
      <c r="B19" s="19" t="s">
        <v>32</v>
      </c>
      <c r="C19" s="19" t="s">
        <v>17</v>
      </c>
      <c r="D19" s="19" t="s">
        <v>22</v>
      </c>
      <c r="E19" s="18">
        <v>35.0</v>
      </c>
      <c r="F19" s="18">
        <v>8.0</v>
      </c>
      <c r="G19" s="26">
        <f t="shared" si="1"/>
        <v>280</v>
      </c>
      <c r="H19" s="18" t="s">
        <v>33</v>
      </c>
    </row>
    <row r="20">
      <c r="A20" s="18">
        <v>1013.0</v>
      </c>
      <c r="B20" s="19" t="s">
        <v>34</v>
      </c>
      <c r="C20" s="19" t="s">
        <v>8</v>
      </c>
      <c r="D20" s="19" t="s">
        <v>9</v>
      </c>
      <c r="E20" s="18">
        <v>14.0</v>
      </c>
      <c r="F20" s="18">
        <v>50.0</v>
      </c>
      <c r="G20" s="26">
        <f t="shared" si="1"/>
        <v>700</v>
      </c>
      <c r="H20" s="18" t="s">
        <v>35</v>
      </c>
    </row>
    <row r="21">
      <c r="A21" s="18">
        <v>1014.0</v>
      </c>
      <c r="B21" s="19" t="s">
        <v>36</v>
      </c>
      <c r="C21" s="19" t="s">
        <v>11</v>
      </c>
      <c r="D21" s="19" t="s">
        <v>12</v>
      </c>
      <c r="E21" s="18">
        <v>28.0</v>
      </c>
      <c r="F21" s="18">
        <v>10.0</v>
      </c>
      <c r="G21" s="26">
        <f t="shared" si="1"/>
        <v>280</v>
      </c>
      <c r="H21" s="18" t="s">
        <v>37</v>
      </c>
    </row>
    <row r="22">
      <c r="A22" s="18">
        <v>1015.0</v>
      </c>
      <c r="B22" s="19" t="s">
        <v>38</v>
      </c>
      <c r="C22" s="19" t="s">
        <v>14</v>
      </c>
      <c r="D22" s="19" t="s">
        <v>15</v>
      </c>
      <c r="E22" s="18">
        <v>12.0</v>
      </c>
      <c r="F22" s="18">
        <v>25.0</v>
      </c>
      <c r="G22" s="26">
        <f t="shared" si="1"/>
        <v>300</v>
      </c>
      <c r="H22" s="18" t="s">
        <v>39</v>
      </c>
    </row>
    <row r="23">
      <c r="A23" s="18">
        <v>1016.0</v>
      </c>
      <c r="B23" s="19" t="s">
        <v>40</v>
      </c>
      <c r="C23" s="19" t="s">
        <v>17</v>
      </c>
      <c r="D23" s="19" t="s">
        <v>19</v>
      </c>
      <c r="E23" s="18">
        <v>25.0</v>
      </c>
      <c r="F23" s="18">
        <v>5.0</v>
      </c>
      <c r="G23" s="26">
        <f t="shared" si="1"/>
        <v>125</v>
      </c>
      <c r="H23" s="18" t="s">
        <v>41</v>
      </c>
    </row>
    <row r="24">
      <c r="A24" s="18">
        <v>1017.0</v>
      </c>
      <c r="B24" s="19" t="s">
        <v>42</v>
      </c>
      <c r="C24" s="19" t="s">
        <v>8</v>
      </c>
      <c r="D24" s="19" t="s">
        <v>22</v>
      </c>
      <c r="E24" s="18">
        <v>20.0</v>
      </c>
      <c r="F24" s="18">
        <v>8.0</v>
      </c>
      <c r="G24" s="26">
        <f t="shared" si="1"/>
        <v>160</v>
      </c>
      <c r="H24" s="18" t="s">
        <v>43</v>
      </c>
    </row>
    <row r="25">
      <c r="A25" s="18">
        <v>1018.0</v>
      </c>
      <c r="B25" s="19" t="s">
        <v>44</v>
      </c>
      <c r="C25" s="19" t="s">
        <v>11</v>
      </c>
      <c r="D25" s="19" t="s">
        <v>9</v>
      </c>
      <c r="E25" s="18">
        <v>10.0</v>
      </c>
      <c r="F25" s="18">
        <v>50.0</v>
      </c>
      <c r="G25" s="26">
        <f t="shared" si="1"/>
        <v>500</v>
      </c>
      <c r="H25" s="18" t="s">
        <v>45</v>
      </c>
    </row>
    <row r="26">
      <c r="A26" s="18">
        <v>1019.0</v>
      </c>
      <c r="B26" s="19" t="s">
        <v>46</v>
      </c>
      <c r="C26" s="19" t="s">
        <v>14</v>
      </c>
      <c r="D26" s="19" t="s">
        <v>12</v>
      </c>
      <c r="E26" s="18">
        <v>15.0</v>
      </c>
      <c r="F26" s="18">
        <v>10.0</v>
      </c>
      <c r="G26" s="26">
        <f t="shared" si="1"/>
        <v>150</v>
      </c>
      <c r="H26" s="18" t="s">
        <v>47</v>
      </c>
    </row>
    <row r="27">
      <c r="A27" s="18">
        <v>1020.0</v>
      </c>
      <c r="B27" s="19" t="s">
        <v>48</v>
      </c>
      <c r="C27" s="19" t="s">
        <v>17</v>
      </c>
      <c r="D27" s="19" t="s">
        <v>15</v>
      </c>
      <c r="E27" s="18">
        <v>18.0</v>
      </c>
      <c r="F27" s="18">
        <v>25.0</v>
      </c>
      <c r="G27" s="26">
        <f t="shared" si="1"/>
        <v>450</v>
      </c>
      <c r="H27" s="20">
        <v>45293.0</v>
      </c>
    </row>
    <row r="28">
      <c r="A28" s="18">
        <v>1021.0</v>
      </c>
      <c r="B28" s="19" t="s">
        <v>49</v>
      </c>
      <c r="C28" s="19" t="s">
        <v>8</v>
      </c>
      <c r="D28" s="19" t="s">
        <v>9</v>
      </c>
      <c r="E28" s="18">
        <v>9.0</v>
      </c>
      <c r="F28" s="18">
        <v>50.0</v>
      </c>
      <c r="G28" s="26">
        <f t="shared" si="1"/>
        <v>450</v>
      </c>
      <c r="H28" s="20">
        <v>45324.0</v>
      </c>
    </row>
    <row r="29">
      <c r="A29" s="18">
        <v>1022.0</v>
      </c>
      <c r="B29" s="19" t="s">
        <v>50</v>
      </c>
      <c r="C29" s="19" t="s">
        <v>11</v>
      </c>
      <c r="D29" s="19" t="s">
        <v>19</v>
      </c>
      <c r="E29" s="18">
        <v>35.0</v>
      </c>
      <c r="F29" s="18">
        <v>5.0</v>
      </c>
      <c r="G29" s="26">
        <f t="shared" si="1"/>
        <v>175</v>
      </c>
      <c r="H29" s="20">
        <v>45353.0</v>
      </c>
    </row>
    <row r="30">
      <c r="A30" s="18">
        <v>1023.0</v>
      </c>
      <c r="B30" s="19" t="s">
        <v>51</v>
      </c>
      <c r="C30" s="19" t="s">
        <v>14</v>
      </c>
      <c r="D30" s="19" t="s">
        <v>22</v>
      </c>
      <c r="E30" s="18">
        <v>30.0</v>
      </c>
      <c r="F30" s="18">
        <v>8.0</v>
      </c>
      <c r="G30" s="26">
        <f t="shared" si="1"/>
        <v>240</v>
      </c>
      <c r="H30" s="20">
        <v>45384.0</v>
      </c>
    </row>
    <row r="31">
      <c r="A31" s="18">
        <v>1024.0</v>
      </c>
      <c r="B31" s="19" t="s">
        <v>52</v>
      </c>
      <c r="C31" s="19" t="s">
        <v>17</v>
      </c>
      <c r="D31" s="19" t="s">
        <v>9</v>
      </c>
      <c r="E31" s="18">
        <v>11.0</v>
      </c>
      <c r="F31" s="18">
        <v>50.0</v>
      </c>
      <c r="G31" s="26">
        <f t="shared" si="1"/>
        <v>550</v>
      </c>
      <c r="H31" s="20">
        <v>45445.0</v>
      </c>
    </row>
    <row r="32">
      <c r="A32" s="18">
        <v>1025.0</v>
      </c>
      <c r="B32" s="19" t="s">
        <v>53</v>
      </c>
      <c r="C32" s="19" t="s">
        <v>8</v>
      </c>
      <c r="D32" s="19" t="s">
        <v>12</v>
      </c>
      <c r="E32" s="18">
        <v>14.0</v>
      </c>
      <c r="F32" s="18">
        <v>10.0</v>
      </c>
      <c r="G32" s="26">
        <f t="shared" si="1"/>
        <v>140</v>
      </c>
      <c r="H32" s="20">
        <v>45475.0</v>
      </c>
    </row>
    <row r="33">
      <c r="A33" s="18">
        <v>1026.0</v>
      </c>
      <c r="B33" s="19" t="s">
        <v>54</v>
      </c>
      <c r="C33" s="19" t="s">
        <v>11</v>
      </c>
      <c r="D33" s="19" t="s">
        <v>15</v>
      </c>
      <c r="E33" s="18">
        <v>16.0</v>
      </c>
      <c r="F33" s="18">
        <v>25.0</v>
      </c>
      <c r="G33" s="26">
        <f t="shared" si="1"/>
        <v>400</v>
      </c>
      <c r="H33" s="20">
        <v>45506.0</v>
      </c>
    </row>
    <row r="34">
      <c r="A34" s="18">
        <v>1027.0</v>
      </c>
      <c r="B34" s="19" t="s">
        <v>55</v>
      </c>
      <c r="C34" s="19" t="s">
        <v>14</v>
      </c>
      <c r="D34" s="19" t="s">
        <v>19</v>
      </c>
      <c r="E34" s="18">
        <v>22.0</v>
      </c>
      <c r="F34" s="18">
        <v>5.0</v>
      </c>
      <c r="G34" s="26">
        <f t="shared" si="1"/>
        <v>110</v>
      </c>
      <c r="H34" s="20">
        <v>45537.0</v>
      </c>
    </row>
    <row r="35">
      <c r="A35" s="18">
        <v>1028.0</v>
      </c>
      <c r="B35" s="19" t="s">
        <v>56</v>
      </c>
      <c r="C35" s="19" t="s">
        <v>17</v>
      </c>
      <c r="D35" s="19" t="s">
        <v>22</v>
      </c>
      <c r="E35" s="18">
        <v>27.0</v>
      </c>
      <c r="F35" s="18">
        <v>8.0</v>
      </c>
      <c r="G35" s="26">
        <f t="shared" si="1"/>
        <v>216</v>
      </c>
      <c r="H35" s="20">
        <v>45567.0</v>
      </c>
    </row>
    <row r="36">
      <c r="A36" s="18">
        <v>1029.0</v>
      </c>
      <c r="B36" s="19" t="s">
        <v>57</v>
      </c>
      <c r="C36" s="19" t="s">
        <v>8</v>
      </c>
      <c r="D36" s="19" t="s">
        <v>9</v>
      </c>
      <c r="E36" s="18">
        <v>13.0</v>
      </c>
      <c r="F36" s="18">
        <v>50.0</v>
      </c>
      <c r="G36" s="26">
        <f t="shared" si="1"/>
        <v>650</v>
      </c>
      <c r="H36" s="20">
        <v>45628.0</v>
      </c>
    </row>
    <row r="37">
      <c r="A37" s="18">
        <v>1030.0</v>
      </c>
      <c r="B37" s="19" t="s">
        <v>58</v>
      </c>
      <c r="C37" s="19" t="s">
        <v>11</v>
      </c>
      <c r="D37" s="19" t="s">
        <v>12</v>
      </c>
      <c r="E37" s="18">
        <v>32.0</v>
      </c>
      <c r="F37" s="18">
        <v>10.0</v>
      </c>
      <c r="G37" s="26">
        <f t="shared" si="1"/>
        <v>320</v>
      </c>
      <c r="H37" s="18" t="s">
        <v>59</v>
      </c>
    </row>
    <row r="38">
      <c r="A38" s="18">
        <v>1031.0</v>
      </c>
      <c r="B38" s="19" t="s">
        <v>60</v>
      </c>
      <c r="C38" s="19" t="s">
        <v>14</v>
      </c>
      <c r="D38" s="19" t="s">
        <v>15</v>
      </c>
      <c r="E38" s="18">
        <v>10.0</v>
      </c>
      <c r="F38" s="18">
        <v>25.0</v>
      </c>
      <c r="G38" s="26">
        <f t="shared" si="1"/>
        <v>250</v>
      </c>
      <c r="H38" s="18" t="s">
        <v>61</v>
      </c>
    </row>
    <row r="39">
      <c r="A39" s="18">
        <v>1032.0</v>
      </c>
      <c r="B39" s="19" t="s">
        <v>62</v>
      </c>
      <c r="C39" s="19" t="s">
        <v>17</v>
      </c>
      <c r="D39" s="19" t="s">
        <v>19</v>
      </c>
      <c r="E39" s="18">
        <v>18.0</v>
      </c>
      <c r="F39" s="18">
        <v>5.0</v>
      </c>
      <c r="G39" s="26">
        <f t="shared" si="1"/>
        <v>90</v>
      </c>
      <c r="H39" s="18" t="s">
        <v>63</v>
      </c>
    </row>
    <row r="40">
      <c r="A40" s="18">
        <v>1033.0</v>
      </c>
      <c r="B40" s="19" t="s">
        <v>64</v>
      </c>
      <c r="C40" s="19" t="s">
        <v>8</v>
      </c>
      <c r="D40" s="19" t="s">
        <v>22</v>
      </c>
      <c r="E40" s="18">
        <v>22.0</v>
      </c>
      <c r="F40" s="18">
        <v>8.0</v>
      </c>
      <c r="G40" s="26">
        <f t="shared" si="1"/>
        <v>176</v>
      </c>
      <c r="H40" s="18" t="s">
        <v>65</v>
      </c>
    </row>
    <row r="41">
      <c r="A41" s="18">
        <v>1034.0</v>
      </c>
      <c r="B41" s="19" t="s">
        <v>66</v>
      </c>
      <c r="C41" s="19" t="s">
        <v>11</v>
      </c>
      <c r="D41" s="19" t="s">
        <v>9</v>
      </c>
      <c r="E41" s="18">
        <v>17.0</v>
      </c>
      <c r="F41" s="18">
        <v>50.0</v>
      </c>
      <c r="G41" s="26">
        <f t="shared" si="1"/>
        <v>850</v>
      </c>
      <c r="H41" s="18" t="s">
        <v>67</v>
      </c>
    </row>
    <row r="42">
      <c r="A42" s="18">
        <v>1035.0</v>
      </c>
      <c r="B42" s="19" t="s">
        <v>68</v>
      </c>
      <c r="C42" s="19" t="s">
        <v>14</v>
      </c>
      <c r="D42" s="19" t="s">
        <v>12</v>
      </c>
      <c r="E42" s="18">
        <v>19.0</v>
      </c>
      <c r="F42" s="18">
        <v>10.0</v>
      </c>
      <c r="G42" s="26">
        <f t="shared" si="1"/>
        <v>190</v>
      </c>
      <c r="H42" s="18" t="s">
        <v>69</v>
      </c>
    </row>
    <row r="43">
      <c r="A43" s="18">
        <v>1036.0</v>
      </c>
      <c r="B43" s="19" t="s">
        <v>70</v>
      </c>
      <c r="C43" s="19" t="s">
        <v>17</v>
      </c>
      <c r="D43" s="19" t="s">
        <v>15</v>
      </c>
      <c r="E43" s="18">
        <v>15.0</v>
      </c>
      <c r="F43" s="18">
        <v>25.0</v>
      </c>
      <c r="G43" s="26">
        <f t="shared" si="1"/>
        <v>375</v>
      </c>
      <c r="H43" s="18" t="s">
        <v>71</v>
      </c>
    </row>
    <row r="44">
      <c r="A44" s="18">
        <v>1037.0</v>
      </c>
      <c r="B44" s="19" t="s">
        <v>72</v>
      </c>
      <c r="C44" s="19" t="s">
        <v>8</v>
      </c>
      <c r="D44" s="19" t="s">
        <v>19</v>
      </c>
      <c r="E44" s="18">
        <v>28.0</v>
      </c>
      <c r="F44" s="18">
        <v>5.0</v>
      </c>
      <c r="G44" s="26">
        <f t="shared" si="1"/>
        <v>140</v>
      </c>
      <c r="H44" s="18" t="s">
        <v>73</v>
      </c>
    </row>
    <row r="45">
      <c r="A45" s="18">
        <v>1038.0</v>
      </c>
      <c r="B45" s="19" t="s">
        <v>74</v>
      </c>
      <c r="C45" s="19" t="s">
        <v>11</v>
      </c>
      <c r="D45" s="19" t="s">
        <v>22</v>
      </c>
      <c r="E45" s="18">
        <v>24.0</v>
      </c>
      <c r="F45" s="18">
        <v>8.0</v>
      </c>
      <c r="G45" s="26">
        <f t="shared" si="1"/>
        <v>192</v>
      </c>
      <c r="H45" s="18" t="s">
        <v>75</v>
      </c>
    </row>
    <row r="46">
      <c r="A46" s="18">
        <v>1039.0</v>
      </c>
      <c r="B46" s="19" t="s">
        <v>76</v>
      </c>
      <c r="C46" s="19" t="s">
        <v>14</v>
      </c>
      <c r="D46" s="19" t="s">
        <v>9</v>
      </c>
      <c r="E46" s="18">
        <v>16.0</v>
      </c>
      <c r="F46" s="18">
        <v>50.0</v>
      </c>
      <c r="G46" s="26">
        <f t="shared" si="1"/>
        <v>800</v>
      </c>
      <c r="H46" s="18" t="s">
        <v>77</v>
      </c>
    </row>
    <row r="47">
      <c r="A47" s="18">
        <v>1040.0</v>
      </c>
      <c r="B47" s="19" t="s">
        <v>78</v>
      </c>
      <c r="C47" s="19" t="s">
        <v>17</v>
      </c>
      <c r="D47" s="19" t="s">
        <v>12</v>
      </c>
      <c r="E47" s="18">
        <v>27.0</v>
      </c>
      <c r="F47" s="18">
        <v>10.0</v>
      </c>
      <c r="G47" s="26">
        <f t="shared" si="1"/>
        <v>270</v>
      </c>
      <c r="H47" s="18" t="s">
        <v>79</v>
      </c>
    </row>
    <row r="48">
      <c r="A48" s="18">
        <v>1041.0</v>
      </c>
      <c r="B48" s="19" t="s">
        <v>80</v>
      </c>
      <c r="C48" s="19" t="s">
        <v>8</v>
      </c>
      <c r="D48" s="19" t="s">
        <v>15</v>
      </c>
      <c r="E48" s="18">
        <v>21.0</v>
      </c>
      <c r="F48" s="18">
        <v>25.0</v>
      </c>
      <c r="G48" s="26">
        <f t="shared" si="1"/>
        <v>525</v>
      </c>
      <c r="H48" s="18" t="s">
        <v>81</v>
      </c>
    </row>
    <row r="49">
      <c r="A49" s="18">
        <v>1042.0</v>
      </c>
      <c r="B49" s="19" t="s">
        <v>82</v>
      </c>
      <c r="C49" s="19" t="s">
        <v>11</v>
      </c>
      <c r="D49" s="19" t="s">
        <v>19</v>
      </c>
      <c r="E49" s="18">
        <v>30.0</v>
      </c>
      <c r="F49" s="18">
        <v>5.0</v>
      </c>
      <c r="G49" s="26">
        <f t="shared" si="1"/>
        <v>150</v>
      </c>
      <c r="H49" s="18" t="s">
        <v>83</v>
      </c>
    </row>
    <row r="50">
      <c r="A50" s="18">
        <v>1043.0</v>
      </c>
      <c r="B50" s="19" t="s">
        <v>84</v>
      </c>
      <c r="C50" s="19" t="s">
        <v>14</v>
      </c>
      <c r="D50" s="19" t="s">
        <v>22</v>
      </c>
      <c r="E50" s="18">
        <v>26.0</v>
      </c>
      <c r="F50" s="18">
        <v>8.0</v>
      </c>
      <c r="G50" s="26">
        <f t="shared" si="1"/>
        <v>208</v>
      </c>
      <c r="H50" s="20">
        <v>45294.0</v>
      </c>
    </row>
    <row r="51">
      <c r="A51" s="18">
        <v>1044.0</v>
      </c>
      <c r="B51" s="19" t="s">
        <v>85</v>
      </c>
      <c r="C51" s="19" t="s">
        <v>17</v>
      </c>
      <c r="D51" s="19" t="s">
        <v>9</v>
      </c>
      <c r="E51" s="18">
        <v>14.0</v>
      </c>
      <c r="F51" s="18">
        <v>50.0</v>
      </c>
      <c r="G51" s="26">
        <f t="shared" si="1"/>
        <v>700</v>
      </c>
      <c r="H51" s="20">
        <v>45325.0</v>
      </c>
    </row>
    <row r="52">
      <c r="A52" s="18">
        <v>1045.0</v>
      </c>
      <c r="B52" s="19" t="s">
        <v>86</v>
      </c>
      <c r="C52" s="19" t="s">
        <v>8</v>
      </c>
      <c r="D52" s="19" t="s">
        <v>12</v>
      </c>
      <c r="E52" s="18">
        <v>20.0</v>
      </c>
      <c r="F52" s="18">
        <v>10.0</v>
      </c>
      <c r="G52" s="26">
        <f t="shared" si="1"/>
        <v>200</v>
      </c>
      <c r="H52" s="20">
        <v>45354.0</v>
      </c>
    </row>
    <row r="53">
      <c r="A53" s="18">
        <v>1046.0</v>
      </c>
      <c r="B53" s="19" t="s">
        <v>87</v>
      </c>
      <c r="C53" s="19" t="s">
        <v>11</v>
      </c>
      <c r="D53" s="19" t="s">
        <v>15</v>
      </c>
      <c r="E53" s="18">
        <v>17.0</v>
      </c>
      <c r="F53" s="18">
        <v>25.0</v>
      </c>
      <c r="G53" s="26">
        <f t="shared" si="1"/>
        <v>425</v>
      </c>
      <c r="H53" s="20">
        <v>45385.0</v>
      </c>
    </row>
    <row r="54">
      <c r="A54" s="18">
        <v>1047.0</v>
      </c>
      <c r="B54" s="19" t="s">
        <v>88</v>
      </c>
      <c r="C54" s="19" t="s">
        <v>14</v>
      </c>
      <c r="D54" s="19" t="s">
        <v>19</v>
      </c>
      <c r="E54" s="18">
        <v>19.0</v>
      </c>
      <c r="F54" s="18">
        <v>5.0</v>
      </c>
      <c r="G54" s="26">
        <f t="shared" si="1"/>
        <v>95</v>
      </c>
      <c r="H54" s="20">
        <v>45415.0</v>
      </c>
    </row>
    <row r="55">
      <c r="A55" s="18">
        <v>1048.0</v>
      </c>
      <c r="B55" s="19" t="s">
        <v>89</v>
      </c>
      <c r="C55" s="19" t="s">
        <v>17</v>
      </c>
      <c r="D55" s="19" t="s">
        <v>22</v>
      </c>
      <c r="E55" s="18">
        <v>32.0</v>
      </c>
      <c r="F55" s="18">
        <v>8.0</v>
      </c>
      <c r="G55" s="26">
        <f t="shared" si="1"/>
        <v>256</v>
      </c>
      <c r="H55" s="20">
        <v>45446.0</v>
      </c>
    </row>
    <row r="56">
      <c r="A56" s="18">
        <v>1049.0</v>
      </c>
      <c r="B56" s="19" t="s">
        <v>90</v>
      </c>
      <c r="C56" s="19" t="s">
        <v>8</v>
      </c>
      <c r="D56" s="19" t="s">
        <v>9</v>
      </c>
      <c r="E56" s="18">
        <v>12.0</v>
      </c>
      <c r="F56" s="18">
        <v>50.0</v>
      </c>
      <c r="G56" s="26">
        <f t="shared" si="1"/>
        <v>600</v>
      </c>
      <c r="H56" s="20">
        <v>45476.0</v>
      </c>
    </row>
    <row r="57">
      <c r="A57" s="18">
        <v>1050.0</v>
      </c>
      <c r="B57" s="19" t="s">
        <v>91</v>
      </c>
      <c r="C57" s="19" t="s">
        <v>11</v>
      </c>
      <c r="D57" s="19" t="s">
        <v>12</v>
      </c>
      <c r="E57" s="18">
        <v>25.0</v>
      </c>
      <c r="F57" s="18">
        <v>10.0</v>
      </c>
      <c r="G57" s="26">
        <f t="shared" si="1"/>
        <v>250</v>
      </c>
      <c r="H57" s="20">
        <v>45507.0</v>
      </c>
    </row>
  </sheetData>
  <drawing r:id="rId1"/>
</worksheet>
</file>